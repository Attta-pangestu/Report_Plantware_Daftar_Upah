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95" windowWidth="15600" windowHeight="7575" tabRatio="765" firstSheet="3" activeTab="3"/>
  </bookViews>
  <sheets>
    <sheet name="MASA KERJA" sheetId="33" state="hidden" r:id="rId1"/>
    <sheet name="HK" sheetId="26" state="hidden" r:id="rId2"/>
    <sheet name="LEMBUR" sheetId="25" state="hidden" r:id="rId3"/>
    <sheet name="GAJI OKTOBER 2025" sheetId="22" r:id="rId4"/>
    <sheet name="BRI OKTOBER 2025" sheetId="34" r:id="rId5"/>
    <sheet name="REKON GAJI MANUAL VS PLANTW  AB" sheetId="35" state="hidden" r:id="rId6"/>
    <sheet name="Distribusi NOVEMBER 2024" sheetId="23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3" hidden="1">'GAJI OKTOBER 2025'!$AC$1:$AC$20</definedName>
    <definedName name="_Order1" hidden="1">255</definedName>
    <definedName name="A" localSheetId="4">#REF!</definedName>
    <definedName name="A" localSheetId="5">#REF!</definedName>
    <definedName name="A">#REF!</definedName>
    <definedName name="AAAA" localSheetId="4">#REF!</definedName>
    <definedName name="AAAA" localSheetId="5">#REF!</definedName>
    <definedName name="AAAA">#REF!</definedName>
    <definedName name="AG" localSheetId="4">#REF!</definedName>
    <definedName name="AG" localSheetId="5">#REF!</definedName>
    <definedName name="AG">#REF!</definedName>
    <definedName name="b" localSheetId="5">#REF!</definedName>
    <definedName name="b">#REF!</definedName>
    <definedName name="BANTU" localSheetId="5">#REF!</definedName>
    <definedName name="BANTU">#REF!</definedName>
    <definedName name="barat" localSheetId="5">#REF!</definedName>
    <definedName name="barat">#REF!</definedName>
    <definedName name="d" localSheetId="5">#REF!</definedName>
    <definedName name="d">#REF!</definedName>
    <definedName name="DAN" localSheetId="5">#REF!</definedName>
    <definedName name="DAN">#REF!</definedName>
    <definedName name="DS" localSheetId="5">#REF!</definedName>
    <definedName name="DS">#REF!</definedName>
    <definedName name="e" localSheetId="5">#REF!</definedName>
    <definedName name="e">#REF!</definedName>
    <definedName name="GHNJFG" localSheetId="5">#REF!</definedName>
    <definedName name="GHNJFG">#REF!</definedName>
    <definedName name="lubis" localSheetId="5">#REF!</definedName>
    <definedName name="lubis">#REF!</definedName>
    <definedName name="MUSLIHUN">[1]Sheet1!$S$579</definedName>
    <definedName name="NOV">#REF!</definedName>
    <definedName name="P" localSheetId="5">#REF!</definedName>
    <definedName name="P">#REF!</definedName>
    <definedName name="PH" localSheetId="5">#REF!</definedName>
    <definedName name="PH">#REF!</definedName>
    <definedName name="PRINT" localSheetId="4">#REF!</definedName>
    <definedName name="PRINT" localSheetId="5">#REF!</definedName>
    <definedName name="PRINT">#REF!</definedName>
    <definedName name="_xlnm.Print_Area" localSheetId="4">'BRI OKTOBER 2025'!$A$1:$E$19</definedName>
    <definedName name="_xlnm.Print_Area" localSheetId="6">'Distribusi NOVEMBER 2024'!$A$1:$AK$27</definedName>
    <definedName name="_xlnm.Print_Area" localSheetId="3">'GAJI OKTOBER 2025'!$A$1:$AV$20</definedName>
    <definedName name="_xlnm.Print_Area" localSheetId="2">LEMBUR!$A$1:$AJ$22</definedName>
    <definedName name="_xlnm.Print_Area" localSheetId="5">'REKON GAJI MANUAL VS PLANTW  AB'!$A$1:$Y$24</definedName>
    <definedName name="_xlnm.Print_Area">#REF!</definedName>
    <definedName name="_xlnm.Print_Titles" localSheetId="5">'REKON GAJI MANUAL VS PLANTW  AB'!$6:$8</definedName>
    <definedName name="PTKP" localSheetId="4">#REF!</definedName>
    <definedName name="PTKP" localSheetId="5">#REF!</definedName>
    <definedName name="PTKP">#REF!</definedName>
    <definedName name="SAPBEXdnldView" hidden="1">"473HST68VGLI9323VYACFULS1"</definedName>
    <definedName name="SAPBEXsysID" hidden="1">"BW2"</definedName>
    <definedName name="t" localSheetId="4">#REF!</definedName>
    <definedName name="t" localSheetId="5">#REF!</definedName>
    <definedName name="t">#REF!</definedName>
    <definedName name="Ter_A" localSheetId="5">#REF!</definedName>
    <definedName name="Ter_A">#REF!</definedName>
    <definedName name="Ter_B" localSheetId="5">#REF!</definedName>
    <definedName name="Ter_B">#REF!</definedName>
    <definedName name="Ter_C" localSheetId="5">#REF!</definedName>
    <definedName name="Ter_C">#REF!</definedName>
    <definedName name="TIMUR" localSheetId="4">#REF!</definedName>
    <definedName name="TIMUR" localSheetId="5">#REF!</definedName>
    <definedName name="TIMUR">#REF!</definedName>
    <definedName name="TOTAL" localSheetId="4">#REF!</definedName>
    <definedName name="TOTAL" localSheetId="5">#REF!</definedName>
    <definedName name="TOTAL">#REF!</definedName>
    <definedName name="TRI" localSheetId="5">#REF!</definedName>
    <definedName name="TRI">#REF!</definedName>
    <definedName name="V" localSheetId="5">#REF!</definedName>
    <definedName name="V">#REF!</definedName>
    <definedName name="Y" localSheetId="5">#REF!</definedName>
    <definedName name="Y">#REF!</definedName>
  </definedNames>
  <calcPr calcId="144525"/>
</workbook>
</file>

<file path=xl/calcChain.xml><?xml version="1.0" encoding="utf-8"?>
<calcChain xmlns="http://schemas.openxmlformats.org/spreadsheetml/2006/main">
  <c r="E6" i="25" l="1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D6" i="25"/>
  <c r="C6" i="25"/>
  <c r="D16" i="33" l="1"/>
  <c r="G15" i="35" l="1"/>
  <c r="G11" i="26" l="1"/>
  <c r="G9" i="25"/>
  <c r="H9" i="25"/>
  <c r="I9" i="25"/>
  <c r="J9" i="25"/>
  <c r="K9" i="25"/>
  <c r="L9" i="25"/>
  <c r="S17" i="26"/>
  <c r="AR14" i="22" l="1"/>
  <c r="AL24" i="25" l="1"/>
  <c r="AL30" i="25"/>
  <c r="S12" i="25" l="1"/>
  <c r="AM14" i="25"/>
  <c r="AM13" i="25"/>
  <c r="AM12" i="25"/>
  <c r="R18" i="25"/>
  <c r="W11" i="26" l="1"/>
  <c r="AC9" i="22" l="1"/>
  <c r="AD9" i="22"/>
  <c r="AC10" i="22"/>
  <c r="AD10" i="22"/>
  <c r="AC11" i="22"/>
  <c r="AD11" i="22"/>
  <c r="AC12" i="22"/>
  <c r="AD12" i="22"/>
  <c r="AD8" i="22"/>
  <c r="AC8" i="22"/>
  <c r="AJ8" i="22" l="1"/>
  <c r="AI8" i="22"/>
  <c r="AO8" i="22"/>
  <c r="AN8" i="22"/>
  <c r="AJ12" i="22"/>
  <c r="AI12" i="22"/>
  <c r="AO12" i="22"/>
  <c r="AN12" i="22"/>
  <c r="AO10" i="22"/>
  <c r="AN10" i="22"/>
  <c r="AJ10" i="22"/>
  <c r="AI10" i="22"/>
  <c r="AN11" i="22"/>
  <c r="AJ11" i="22"/>
  <c r="AI11" i="22"/>
  <c r="AO11" i="22"/>
  <c r="AI9" i="22"/>
  <c r="AO9" i="22"/>
  <c r="AN9" i="22"/>
  <c r="AJ9" i="22"/>
  <c r="K17" i="35"/>
  <c r="O11" i="35"/>
  <c r="AJ13" i="22" l="1"/>
  <c r="BO24" i="35"/>
  <c r="BN24" i="35"/>
  <c r="BO23" i="35"/>
  <c r="BN23" i="35"/>
  <c r="BO22" i="35"/>
  <c r="BN22" i="35"/>
  <c r="BO21" i="35"/>
  <c r="BN21" i="35"/>
  <c r="BO20" i="35"/>
  <c r="BN20" i="35"/>
  <c r="BO19" i="35"/>
  <c r="BN19" i="35"/>
  <c r="D17" i="35"/>
  <c r="W15" i="35"/>
  <c r="W16" i="35" s="1"/>
  <c r="T15" i="35"/>
  <c r="T16" i="35" s="1"/>
  <c r="S15" i="35"/>
  <c r="S16" i="35" s="1"/>
  <c r="Q15" i="35"/>
  <c r="Q16" i="35" s="1"/>
  <c r="P15" i="35"/>
  <c r="P16" i="35" s="1"/>
  <c r="N15" i="35"/>
  <c r="N16" i="35" s="1"/>
  <c r="H15" i="35"/>
  <c r="H16" i="35" s="1"/>
  <c r="E15" i="35"/>
  <c r="E16" i="35" s="1"/>
  <c r="X14" i="35"/>
  <c r="U14" i="35"/>
  <c r="R14" i="35"/>
  <c r="O14" i="35"/>
  <c r="I14" i="35"/>
  <c r="C14" i="35"/>
  <c r="X13" i="35"/>
  <c r="U13" i="35"/>
  <c r="R13" i="35"/>
  <c r="O13" i="35"/>
  <c r="I13" i="35"/>
  <c r="C13" i="35"/>
  <c r="AC12" i="35"/>
  <c r="X12" i="35"/>
  <c r="U12" i="35"/>
  <c r="R12" i="35"/>
  <c r="O12" i="35"/>
  <c r="L12" i="35"/>
  <c r="I12" i="35"/>
  <c r="C12" i="35"/>
  <c r="X11" i="35"/>
  <c r="U11" i="35"/>
  <c r="R11" i="35"/>
  <c r="L11" i="35"/>
  <c r="I11" i="35"/>
  <c r="C11" i="35"/>
  <c r="X10" i="35"/>
  <c r="U10" i="35"/>
  <c r="R10" i="35"/>
  <c r="M15" i="35"/>
  <c r="M16" i="35" s="1"/>
  <c r="K15" i="35"/>
  <c r="K16" i="35" s="1"/>
  <c r="L10" i="35"/>
  <c r="C10" i="35"/>
  <c r="AA9" i="35"/>
  <c r="Z9" i="35"/>
  <c r="R15" i="35" l="1"/>
  <c r="R16" i="35" s="1"/>
  <c r="Y12" i="35"/>
  <c r="U15" i="35"/>
  <c r="U16" i="35" s="1"/>
  <c r="X15" i="35"/>
  <c r="X16" i="35" s="1"/>
  <c r="Y11" i="35"/>
  <c r="V15" i="35"/>
  <c r="V16" i="35" s="1"/>
  <c r="O15" i="35"/>
  <c r="O16" i="35" s="1"/>
  <c r="AH4" i="25" l="1"/>
  <c r="BD13" i="22" l="1"/>
  <c r="BF13" i="22"/>
  <c r="AH10" i="25" l="1"/>
  <c r="AH11" i="25"/>
  <c r="N18" i="25" l="1"/>
  <c r="D15" i="25" l="1"/>
  <c r="E15" i="25"/>
  <c r="F15" i="25"/>
  <c r="G15" i="25"/>
  <c r="AB15" i="25" l="1"/>
  <c r="AO9" i="26" l="1"/>
  <c r="D10" i="33" l="1"/>
  <c r="D8" i="33" l="1"/>
  <c r="D12" i="33" l="1"/>
  <c r="D11" i="33"/>
  <c r="D9" i="33"/>
  <c r="F12" i="33" l="1"/>
  <c r="F11" i="33"/>
  <c r="F10" i="33"/>
  <c r="F9" i="33"/>
  <c r="F8" i="33"/>
  <c r="AE11" i="23" l="1"/>
  <c r="AS13" i="22" l="1"/>
  <c r="AS15" i="22" s="1"/>
  <c r="AO6" i="26" l="1"/>
  <c r="AM12" i="22" l="1"/>
  <c r="BE12" i="22" s="1"/>
  <c r="AL12" i="22"/>
  <c r="AM8" i="22"/>
  <c r="BE8" i="22" s="1"/>
  <c r="AL8" i="22"/>
  <c r="V15" i="25" l="1"/>
  <c r="Y11" i="26"/>
  <c r="N9" i="25" l="1"/>
  <c r="AF14" i="26" l="1"/>
  <c r="AM9" i="22" l="1"/>
  <c r="BE9" i="22" s="1"/>
  <c r="AL9" i="22"/>
  <c r="AL11" i="22"/>
  <c r="AM11" i="22"/>
  <c r="BE11" i="22" s="1"/>
  <c r="D18" i="25"/>
  <c r="C18" i="25"/>
  <c r="D11" i="26" l="1"/>
  <c r="E11" i="26"/>
  <c r="F11" i="26"/>
  <c r="AB12" i="25" l="1"/>
  <c r="F13" i="22" l="1"/>
  <c r="L13" i="22"/>
  <c r="R13" i="22"/>
  <c r="W13" i="22"/>
  <c r="Y13" i="22"/>
  <c r="AB13" i="22"/>
  <c r="AC13" i="22"/>
  <c r="AF13" i="22"/>
  <c r="AG13" i="22"/>
  <c r="AI13" i="22"/>
  <c r="AN13" i="22"/>
  <c r="AO13" i="22"/>
  <c r="AQ13" i="22"/>
  <c r="AO8" i="26" l="1"/>
  <c r="E12" i="25" l="1"/>
  <c r="F12" i="25"/>
  <c r="R9" i="25"/>
  <c r="I17" i="26" l="1"/>
  <c r="AO7" i="26" l="1"/>
  <c r="X12" i="25" l="1"/>
  <c r="AL10" i="22" l="1"/>
  <c r="AL13" i="22" s="1"/>
  <c r="AM10" i="22"/>
  <c r="BE10" i="22" s="1"/>
  <c r="BE13" i="22" s="1"/>
  <c r="O9" i="25"/>
  <c r="P9" i="25"/>
  <c r="AM13" i="22" l="1"/>
  <c r="AJ13" i="23" l="1"/>
  <c r="AI13" i="23"/>
  <c r="AH13" i="23"/>
  <c r="AD13" i="23"/>
  <c r="AC13" i="23"/>
  <c r="AA13" i="23"/>
  <c r="Z13" i="23"/>
  <c r="X13" i="23"/>
  <c r="AJ11" i="23"/>
  <c r="AJ10" i="23"/>
  <c r="AI11" i="23"/>
  <c r="AI10" i="23"/>
  <c r="AH11" i="23"/>
  <c r="AH10" i="23"/>
  <c r="AD11" i="23"/>
  <c r="AD10" i="23"/>
  <c r="Z11" i="23"/>
  <c r="Z10" i="23"/>
  <c r="AC11" i="23"/>
  <c r="AC10" i="23"/>
  <c r="AA10" i="23"/>
  <c r="AH6" i="26" l="1"/>
  <c r="AI6" i="26"/>
  <c r="AJ6" i="26"/>
  <c r="AK6" i="26"/>
  <c r="AL6" i="26"/>
  <c r="AM6" i="26"/>
  <c r="AN6" i="26"/>
  <c r="AQ6" i="26"/>
  <c r="AR6" i="26"/>
  <c r="AH7" i="26"/>
  <c r="AI7" i="26"/>
  <c r="AJ7" i="26"/>
  <c r="AK7" i="26"/>
  <c r="AL7" i="26"/>
  <c r="AM7" i="26"/>
  <c r="AN7" i="26"/>
  <c r="AQ7" i="26"/>
  <c r="AU9" i="22" s="1"/>
  <c r="AR7" i="26"/>
  <c r="AV9" i="22" s="1"/>
  <c r="AH8" i="26"/>
  <c r="AI8" i="26"/>
  <c r="AJ8" i="26"/>
  <c r="AK8" i="26"/>
  <c r="AL8" i="26"/>
  <c r="AM8" i="26"/>
  <c r="AN8" i="26"/>
  <c r="AQ8" i="26"/>
  <c r="AR8" i="26"/>
  <c r="AH9" i="26"/>
  <c r="AI9" i="26"/>
  <c r="AJ9" i="26"/>
  <c r="AK9" i="26"/>
  <c r="AL9" i="26"/>
  <c r="AM9" i="26"/>
  <c r="AN9" i="26"/>
  <c r="AQ9" i="26"/>
  <c r="AR9" i="26"/>
  <c r="AH10" i="26"/>
  <c r="AI10" i="26"/>
  <c r="AJ10" i="26"/>
  <c r="AK10" i="26"/>
  <c r="AL10" i="26"/>
  <c r="AM10" i="26"/>
  <c r="AN10" i="26"/>
  <c r="AO10" i="26"/>
  <c r="AQ10" i="26"/>
  <c r="AR10" i="26"/>
  <c r="C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X11" i="26"/>
  <c r="Z11" i="26"/>
  <c r="AA11" i="26"/>
  <c r="AB11" i="26"/>
  <c r="AC11" i="26"/>
  <c r="AD11" i="26"/>
  <c r="AE11" i="26"/>
  <c r="AF11" i="26"/>
  <c r="AG11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G14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C17" i="26"/>
  <c r="D17" i="26"/>
  <c r="E17" i="26"/>
  <c r="F17" i="26"/>
  <c r="G17" i="26"/>
  <c r="H17" i="26"/>
  <c r="J17" i="26"/>
  <c r="K17" i="26"/>
  <c r="L17" i="26"/>
  <c r="M17" i="26"/>
  <c r="N17" i="26"/>
  <c r="O17" i="26"/>
  <c r="P17" i="26"/>
  <c r="Q17" i="26"/>
  <c r="R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J4" i="25"/>
  <c r="AH5" i="25"/>
  <c r="AH7" i="25"/>
  <c r="AH8" i="25"/>
  <c r="AJ8" i="25" s="1"/>
  <c r="C9" i="25"/>
  <c r="D9" i="25"/>
  <c r="E9" i="25"/>
  <c r="F9" i="25"/>
  <c r="M9" i="25"/>
  <c r="Q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J10" i="25"/>
  <c r="AJ11" i="25"/>
  <c r="C12" i="25"/>
  <c r="D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T12" i="25"/>
  <c r="U12" i="25"/>
  <c r="V12" i="25"/>
  <c r="W12" i="25"/>
  <c r="Y12" i="25"/>
  <c r="Z12" i="25"/>
  <c r="AA12" i="25"/>
  <c r="AC12" i="25"/>
  <c r="AD12" i="25"/>
  <c r="AE12" i="25"/>
  <c r="AF12" i="25"/>
  <c r="AG12" i="25"/>
  <c r="AH13" i="25"/>
  <c r="AJ13" i="25" s="1"/>
  <c r="AH14" i="25"/>
  <c r="AJ14" i="25" s="1"/>
  <c r="C15" i="25"/>
  <c r="H15" i="25"/>
  <c r="I15" i="25"/>
  <c r="J15" i="25"/>
  <c r="K15" i="25"/>
  <c r="L15" i="25"/>
  <c r="M15" i="25"/>
  <c r="N15" i="25"/>
  <c r="O15" i="25"/>
  <c r="P15" i="25"/>
  <c r="Q15" i="25"/>
  <c r="R15" i="25"/>
  <c r="S15" i="25"/>
  <c r="T15" i="25"/>
  <c r="U15" i="25"/>
  <c r="W15" i="25"/>
  <c r="X15" i="25"/>
  <c r="Y15" i="25"/>
  <c r="Z15" i="25"/>
  <c r="AA15" i="25"/>
  <c r="AC15" i="25"/>
  <c r="AD15" i="25"/>
  <c r="AE15" i="25"/>
  <c r="AF15" i="25"/>
  <c r="AG15" i="25"/>
  <c r="AH16" i="25"/>
  <c r="AJ16" i="25" s="1"/>
  <c r="AH17" i="25"/>
  <c r="AJ17" i="25" s="1"/>
  <c r="E18" i="25"/>
  <c r="F18" i="25"/>
  <c r="G18" i="25"/>
  <c r="H18" i="25"/>
  <c r="I18" i="25"/>
  <c r="J18" i="25"/>
  <c r="K18" i="25"/>
  <c r="L18" i="25"/>
  <c r="M18" i="25"/>
  <c r="O18" i="25"/>
  <c r="P18" i="25"/>
  <c r="Q18" i="25"/>
  <c r="S18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AG18" i="25"/>
  <c r="AI20" i="25"/>
  <c r="AJ7" i="25" l="1"/>
  <c r="AJ9" i="25" s="1"/>
  <c r="AH9" i="25"/>
  <c r="AJ5" i="25"/>
  <c r="AJ6" i="25" s="1"/>
  <c r="AL6" i="25" s="1"/>
  <c r="AH6" i="25"/>
  <c r="AU11" i="22"/>
  <c r="AW11" i="22" s="1"/>
  <c r="E11" i="22"/>
  <c r="AU8" i="22"/>
  <c r="AW8" i="22" s="1"/>
  <c r="AV12" i="22"/>
  <c r="AX12" i="22" s="1"/>
  <c r="AV10" i="22"/>
  <c r="AX10" i="22" s="1"/>
  <c r="E10" i="22"/>
  <c r="C11" i="23" s="1"/>
  <c r="D11" i="23" s="1"/>
  <c r="AU12" i="22"/>
  <c r="AW12" i="22" s="1"/>
  <c r="E12" i="22"/>
  <c r="AU10" i="22"/>
  <c r="AW10" i="22" s="1"/>
  <c r="AX9" i="22"/>
  <c r="AV11" i="22"/>
  <c r="AX11" i="22" s="1"/>
  <c r="AW9" i="22"/>
  <c r="AV8" i="22"/>
  <c r="AX8" i="22" s="1"/>
  <c r="C20" i="25"/>
  <c r="AG20" i="25"/>
  <c r="S20" i="25"/>
  <c r="R20" i="25"/>
  <c r="AC20" i="26"/>
  <c r="Q20" i="25"/>
  <c r="P12" i="22"/>
  <c r="H12" i="22"/>
  <c r="T11" i="22"/>
  <c r="U11" i="22" s="1"/>
  <c r="P11" i="22"/>
  <c r="H11" i="22"/>
  <c r="T10" i="22"/>
  <c r="Q11" i="23" s="1"/>
  <c r="T9" i="22"/>
  <c r="P9" i="22"/>
  <c r="H9" i="22"/>
  <c r="T8" i="22"/>
  <c r="P8" i="22"/>
  <c r="H8" i="22"/>
  <c r="N12" i="22"/>
  <c r="J12" i="22"/>
  <c r="N11" i="22"/>
  <c r="J10" i="22"/>
  <c r="G11" i="23" s="1"/>
  <c r="N9" i="22"/>
  <c r="J9" i="22"/>
  <c r="E9" i="22"/>
  <c r="N8" i="22"/>
  <c r="J8" i="22"/>
  <c r="E8" i="22"/>
  <c r="V20" i="25"/>
  <c r="U20" i="25"/>
  <c r="T20" i="25"/>
  <c r="AB20" i="25"/>
  <c r="D20" i="25"/>
  <c r="F20" i="25"/>
  <c r="AP10" i="26"/>
  <c r="T12" i="22"/>
  <c r="P10" i="22"/>
  <c r="M11" i="23" s="1"/>
  <c r="H10" i="22"/>
  <c r="E11" i="23" s="1"/>
  <c r="J11" i="22"/>
  <c r="N10" i="22"/>
  <c r="K11" i="23" s="1"/>
  <c r="AJ11" i="26"/>
  <c r="AD20" i="25"/>
  <c r="AF20" i="25"/>
  <c r="AE20" i="25"/>
  <c r="X20" i="25"/>
  <c r="J20" i="25"/>
  <c r="I20" i="25"/>
  <c r="H20" i="25"/>
  <c r="E20" i="25"/>
  <c r="AE20" i="26"/>
  <c r="Z20" i="25"/>
  <c r="G20" i="25"/>
  <c r="O20" i="26"/>
  <c r="E20" i="26"/>
  <c r="AG20" i="26"/>
  <c r="Q20" i="26"/>
  <c r="L20" i="25"/>
  <c r="AC20" i="25"/>
  <c r="W20" i="25"/>
  <c r="P20" i="25"/>
  <c r="AJ12" i="25"/>
  <c r="AH12" i="25"/>
  <c r="AA20" i="25"/>
  <c r="Y20" i="25"/>
  <c r="AA20" i="26"/>
  <c r="N20" i="25"/>
  <c r="AH18" i="25"/>
  <c r="AJ18" i="25"/>
  <c r="O20" i="25"/>
  <c r="M20" i="25"/>
  <c r="K20" i="25"/>
  <c r="AH15" i="25"/>
  <c r="AJ15" i="25"/>
  <c r="K20" i="26"/>
  <c r="AR11" i="26"/>
  <c r="W20" i="26"/>
  <c r="S20" i="26"/>
  <c r="AH12" i="26"/>
  <c r="AN11" i="26"/>
  <c r="AL11" i="26"/>
  <c r="AH11" i="26"/>
  <c r="Y20" i="26"/>
  <c r="U20" i="26"/>
  <c r="M20" i="26"/>
  <c r="I20" i="26"/>
  <c r="G20" i="26"/>
  <c r="AP8" i="26"/>
  <c r="AH13" i="26"/>
  <c r="AH14" i="26"/>
  <c r="C20" i="26"/>
  <c r="AP6" i="26"/>
  <c r="AH18" i="26"/>
  <c r="AH16" i="26"/>
  <c r="AP9" i="26"/>
  <c r="AQ11" i="26"/>
  <c r="AH19" i="26"/>
  <c r="AH17" i="26"/>
  <c r="AH15" i="26"/>
  <c r="AF20" i="26"/>
  <c r="AD20" i="26"/>
  <c r="AB20" i="26"/>
  <c r="Z20" i="26"/>
  <c r="X20" i="26"/>
  <c r="V20" i="26"/>
  <c r="T20" i="26"/>
  <c r="R20" i="26"/>
  <c r="P20" i="26"/>
  <c r="N20" i="26"/>
  <c r="L20" i="26"/>
  <c r="J20" i="26"/>
  <c r="H20" i="26"/>
  <c r="F20" i="26"/>
  <c r="D20" i="26"/>
  <c r="AO11" i="26"/>
  <c r="AM11" i="26"/>
  <c r="AK11" i="26"/>
  <c r="AP7" i="26"/>
  <c r="AI11" i="26"/>
  <c r="AY9" i="22" l="1"/>
  <c r="AY8" i="22"/>
  <c r="AY10" i="22"/>
  <c r="AY12" i="22"/>
  <c r="AY11" i="22"/>
  <c r="AX13" i="22"/>
  <c r="AU13" i="22"/>
  <c r="AW13" i="22"/>
  <c r="AV13" i="22"/>
  <c r="C10" i="23"/>
  <c r="D10" i="23" s="1"/>
  <c r="E10" i="23"/>
  <c r="F10" i="23" s="1"/>
  <c r="AL15" i="25"/>
  <c r="J13" i="22"/>
  <c r="N13" i="22"/>
  <c r="P13" i="22"/>
  <c r="H13" i="22"/>
  <c r="T13" i="22"/>
  <c r="E13" i="22"/>
  <c r="AE11" i="22"/>
  <c r="L13" i="35" s="1"/>
  <c r="Y13" i="35" s="1"/>
  <c r="AE10" i="22"/>
  <c r="AE9" i="22"/>
  <c r="AE12" i="22"/>
  <c r="AE8" i="22"/>
  <c r="G10" i="23"/>
  <c r="Q10" i="23"/>
  <c r="R10" i="23" s="1"/>
  <c r="K10" i="23"/>
  <c r="M10" i="23"/>
  <c r="AH20" i="25"/>
  <c r="AJ20" i="25"/>
  <c r="AP11" i="26"/>
  <c r="AH20" i="26"/>
  <c r="AI12" i="23"/>
  <c r="AI14" i="23" s="1"/>
  <c r="AF12" i="23"/>
  <c r="AE12" i="23"/>
  <c r="AK17" i="23" s="1"/>
  <c r="Y12" i="23"/>
  <c r="X12" i="23"/>
  <c r="X14" i="23" s="1"/>
  <c r="W12" i="23"/>
  <c r="W14" i="23" s="1"/>
  <c r="O12" i="23"/>
  <c r="O14" i="23" s="1"/>
  <c r="I12" i="23"/>
  <c r="I14" i="23" s="1"/>
  <c r="R11" i="23"/>
  <c r="P11" i="23"/>
  <c r="J11" i="23"/>
  <c r="AJ12" i="23"/>
  <c r="AJ14" i="23" s="1"/>
  <c r="AH12" i="23"/>
  <c r="AH14" i="23" s="1"/>
  <c r="AD12" i="23"/>
  <c r="AC12" i="23"/>
  <c r="AA12" i="23"/>
  <c r="Z12" i="23"/>
  <c r="P10" i="23"/>
  <c r="J10" i="23"/>
  <c r="J12" i="23" s="1"/>
  <c r="J14" i="23" s="1"/>
  <c r="AJ6" i="23"/>
  <c r="AI6" i="23"/>
  <c r="AH6" i="23"/>
  <c r="AD6" i="23"/>
  <c r="AC6" i="23"/>
  <c r="AB6" i="23"/>
  <c r="AA6" i="23"/>
  <c r="Z6" i="23"/>
  <c r="X6" i="23"/>
  <c r="V6" i="23"/>
  <c r="U6" i="23"/>
  <c r="T6" i="23"/>
  <c r="S6" i="23"/>
  <c r="Q6" i="23"/>
  <c r="K6" i="23"/>
  <c r="E6" i="23"/>
  <c r="AP12" i="22"/>
  <c r="AK12" i="22"/>
  <c r="AD13" i="22"/>
  <c r="U12" i="22"/>
  <c r="S12" i="22"/>
  <c r="M12" i="22"/>
  <c r="AP11" i="22"/>
  <c r="AK11" i="22"/>
  <c r="S11" i="22"/>
  <c r="M11" i="22"/>
  <c r="AP10" i="22"/>
  <c r="AK10" i="22"/>
  <c r="U11" i="23"/>
  <c r="U10" i="22"/>
  <c r="S10" i="22"/>
  <c r="M10" i="22"/>
  <c r="AP9" i="22"/>
  <c r="AK9" i="22"/>
  <c r="U9" i="22"/>
  <c r="S9" i="22"/>
  <c r="M9" i="22"/>
  <c r="AK8" i="22"/>
  <c r="U8" i="22"/>
  <c r="S8" i="22"/>
  <c r="M8" i="22"/>
  <c r="L14" i="35" l="1"/>
  <c r="J15" i="35"/>
  <c r="J16" i="35" s="1"/>
  <c r="U13" i="23"/>
  <c r="AY13" i="22"/>
  <c r="AE14" i="23"/>
  <c r="AF14" i="23"/>
  <c r="V11" i="23"/>
  <c r="P12" i="23"/>
  <c r="P14" i="23" s="1"/>
  <c r="AK13" i="22"/>
  <c r="M13" i="22"/>
  <c r="S13" i="22"/>
  <c r="U13" i="22"/>
  <c r="AE13" i="22"/>
  <c r="U10" i="23"/>
  <c r="U12" i="23" s="1"/>
  <c r="V10" i="23"/>
  <c r="Y14" i="23"/>
  <c r="AA14" i="23"/>
  <c r="AK18" i="23"/>
  <c r="AD14" i="23"/>
  <c r="AK16" i="23"/>
  <c r="AK15" i="23"/>
  <c r="Z14" i="23"/>
  <c r="AK14" i="23"/>
  <c r="AC14" i="23"/>
  <c r="R12" i="23"/>
  <c r="R14" i="23" s="1"/>
  <c r="Q12" i="23"/>
  <c r="Q14" i="23" s="1"/>
  <c r="AP8" i="22"/>
  <c r="AP13" i="22" s="1"/>
  <c r="Y14" i="35" l="1"/>
  <c r="L15" i="35"/>
  <c r="L16" i="35" s="1"/>
  <c r="AK20" i="25"/>
  <c r="AL20" i="25" s="1"/>
  <c r="U14" i="23"/>
  <c r="Q9" i="22" l="1"/>
  <c r="N11" i="23"/>
  <c r="Q10" i="22"/>
  <c r="I11" i="22"/>
  <c r="Q11" i="22"/>
  <c r="I12" i="22"/>
  <c r="Q12" i="22"/>
  <c r="I8" i="22"/>
  <c r="I9" i="22"/>
  <c r="F11" i="23"/>
  <c r="I10" i="22"/>
  <c r="K9" i="22"/>
  <c r="O9" i="22"/>
  <c r="H11" i="23"/>
  <c r="K10" i="22"/>
  <c r="L11" i="23"/>
  <c r="O10" i="22"/>
  <c r="K11" i="22"/>
  <c r="O11" i="22"/>
  <c r="Z12" i="22"/>
  <c r="AA12" i="22" s="1"/>
  <c r="G12" i="22"/>
  <c r="K12" i="22"/>
  <c r="O12" i="22"/>
  <c r="I13" i="22" l="1"/>
  <c r="F13" i="23" s="1"/>
  <c r="H10" i="23"/>
  <c r="G12" i="23"/>
  <c r="G14" i="23" s="1"/>
  <c r="F12" i="23"/>
  <c r="E12" i="23"/>
  <c r="E14" i="23" s="1"/>
  <c r="V12" i="22"/>
  <c r="X12" i="22" s="1"/>
  <c r="Z11" i="22"/>
  <c r="AA11" i="22" s="1"/>
  <c r="V11" i="22"/>
  <c r="G11" i="22"/>
  <c r="Z10" i="22"/>
  <c r="AA10" i="22" s="1"/>
  <c r="V10" i="22"/>
  <c r="G10" i="22"/>
  <c r="Z9" i="22"/>
  <c r="AA9" i="22" s="1"/>
  <c r="V9" i="22"/>
  <c r="G9" i="22"/>
  <c r="O8" i="22"/>
  <c r="O13" i="22" s="1"/>
  <c r="K8" i="22"/>
  <c r="K13" i="22" s="1"/>
  <c r="G8" i="22"/>
  <c r="V8" i="22"/>
  <c r="AZ8" i="22" s="1"/>
  <c r="BA8" i="22" s="1"/>
  <c r="Z8" i="22"/>
  <c r="AA8" i="22" s="1"/>
  <c r="Q8" i="22"/>
  <c r="Q13" i="22" s="1"/>
  <c r="N10" i="23"/>
  <c r="N12" i="23" s="1"/>
  <c r="M12" i="23"/>
  <c r="M14" i="23" s="1"/>
  <c r="L10" i="23"/>
  <c r="L12" i="23" s="1"/>
  <c r="K12" i="23"/>
  <c r="K14" i="23" s="1"/>
  <c r="AZ9" i="22" l="1"/>
  <c r="BA9" i="22" s="1"/>
  <c r="X10" i="22"/>
  <c r="BC10" i="22" s="1"/>
  <c r="AZ10" i="22"/>
  <c r="BA10" i="22" s="1"/>
  <c r="X11" i="22"/>
  <c r="AZ11" i="22"/>
  <c r="BA11" i="22" s="1"/>
  <c r="X8" i="22"/>
  <c r="X9" i="22"/>
  <c r="BC9" i="22" s="1"/>
  <c r="BG8" i="22"/>
  <c r="AZ12" i="22"/>
  <c r="BA12" i="22" s="1"/>
  <c r="BG12" i="22"/>
  <c r="BG11" i="22"/>
  <c r="BG10" i="22"/>
  <c r="BG9" i="22"/>
  <c r="H12" i="23"/>
  <c r="T11" i="23"/>
  <c r="Z13" i="22"/>
  <c r="G13" i="22"/>
  <c r="V13" i="22"/>
  <c r="N13" i="23"/>
  <c r="N14" i="23" s="1"/>
  <c r="H13" i="23"/>
  <c r="L13" i="23"/>
  <c r="L14" i="23" s="1"/>
  <c r="F14" i="23"/>
  <c r="D12" i="23"/>
  <c r="C12" i="23"/>
  <c r="V13" i="23"/>
  <c r="V12" i="23"/>
  <c r="AH9" i="22" l="1"/>
  <c r="AT9" i="22" s="1"/>
  <c r="C7" i="34" s="1"/>
  <c r="G16" i="35"/>
  <c r="I10" i="35"/>
  <c r="S11" i="23"/>
  <c r="BB11" i="22"/>
  <c r="BB10" i="22"/>
  <c r="BB8" i="22"/>
  <c r="BC8" i="22"/>
  <c r="BA13" i="22"/>
  <c r="AH12" i="22"/>
  <c r="BC12" i="22"/>
  <c r="BB9" i="22"/>
  <c r="BG13" i="22"/>
  <c r="AH11" i="22"/>
  <c r="BC11" i="22"/>
  <c r="BB12" i="22"/>
  <c r="AH10" i="22"/>
  <c r="AH8" i="22"/>
  <c r="AT8" i="22" s="1"/>
  <c r="C6" i="34" s="1"/>
  <c r="H14" i="23"/>
  <c r="AZ13" i="22"/>
  <c r="D13" i="23"/>
  <c r="D14" i="23" s="1"/>
  <c r="X13" i="22"/>
  <c r="AA13" i="22"/>
  <c r="S10" i="23"/>
  <c r="T10" i="23"/>
  <c r="T12" i="23" s="1"/>
  <c r="V14" i="23"/>
  <c r="I15" i="35" l="1"/>
  <c r="I16" i="35" s="1"/>
  <c r="Y10" i="35"/>
  <c r="Y15" i="35" s="1"/>
  <c r="Y16" i="35" s="1"/>
  <c r="BC13" i="22"/>
  <c r="BA14" i="22" s="1"/>
  <c r="BB13" i="22"/>
  <c r="T13" i="23"/>
  <c r="T14" i="23" s="1"/>
  <c r="S13" i="23"/>
  <c r="AH13" i="22"/>
  <c r="BA15" i="22" l="1"/>
  <c r="BA16" i="22" s="1"/>
  <c r="S12" i="23"/>
  <c r="S14" i="23" s="1"/>
  <c r="AT11" i="22" l="1"/>
  <c r="C9" i="34" s="1"/>
  <c r="AT12" i="22"/>
  <c r="C10" i="34" s="1"/>
  <c r="D14" i="35" l="1"/>
  <c r="F14" i="35" s="1"/>
  <c r="D13" i="35"/>
  <c r="F13" i="35" s="1"/>
  <c r="D11" i="35"/>
  <c r="F11" i="35" s="1"/>
  <c r="AT10" i="22"/>
  <c r="C8" i="34" s="1"/>
  <c r="AB11" i="23"/>
  <c r="AG11" i="23" s="1"/>
  <c r="AK11" i="23" s="1"/>
  <c r="AR13" i="22"/>
  <c r="AB10" i="23"/>
  <c r="D12" i="35" l="1"/>
  <c r="F12" i="35" s="1"/>
  <c r="AA11" i="35"/>
  <c r="Z11" i="35"/>
  <c r="AA14" i="35"/>
  <c r="Z14" i="35"/>
  <c r="D10" i="35"/>
  <c r="Z13" i="35"/>
  <c r="AA13" i="35"/>
  <c r="AG10" i="23"/>
  <c r="AG12" i="23" s="1"/>
  <c r="AG14" i="23" s="1"/>
  <c r="AB12" i="23"/>
  <c r="AT13" i="22"/>
  <c r="C12" i="34" s="1"/>
  <c r="AB13" i="23"/>
  <c r="C11" i="34" l="1"/>
  <c r="Z12" i="35"/>
  <c r="AA12" i="35"/>
  <c r="F10" i="35"/>
  <c r="D15" i="35"/>
  <c r="D16" i="35" s="1"/>
  <c r="D18" i="35" s="1"/>
  <c r="AK10" i="23"/>
  <c r="AK12" i="23" s="1"/>
  <c r="AL20" i="23"/>
  <c r="AK19" i="23"/>
  <c r="AB14" i="23"/>
  <c r="C13" i="34" l="1"/>
  <c r="F15" i="35"/>
  <c r="AA10" i="35"/>
  <c r="Z10" i="35"/>
  <c r="AK20" i="23"/>
  <c r="AM20" i="23" s="1"/>
  <c r="F16" i="35" l="1"/>
  <c r="Z15" i="35"/>
  <c r="AA15" i="35"/>
  <c r="AR15" i="22"/>
  <c r="AA16" i="35" l="1"/>
  <c r="Z16" i="35"/>
</calcChain>
</file>

<file path=xl/comments1.xml><?xml version="1.0" encoding="utf-8"?>
<comments xmlns="http://schemas.openxmlformats.org/spreadsheetml/2006/main">
  <authors>
    <author>PTRJPC AB2</author>
  </authors>
  <commentList>
    <comment ref="B10" authorId="0">
      <text>
        <r>
          <rPr>
            <b/>
            <sz val="9"/>
            <color indexed="81"/>
            <rFont val="Tahoma"/>
            <family val="2"/>
          </rPr>
          <t>PTRJPC AB2:</t>
        </r>
        <r>
          <rPr>
            <sz val="9"/>
            <color indexed="81"/>
            <rFont val="Tahoma"/>
            <family val="2"/>
          </rPr>
          <t xml:space="preserve">
TAHUN 2026 PENSIUN BULAN 9 TGL 29</t>
        </r>
      </text>
    </comment>
  </commentList>
</comments>
</file>

<file path=xl/sharedStrings.xml><?xml version="1.0" encoding="utf-8"?>
<sst xmlns="http://schemas.openxmlformats.org/spreadsheetml/2006/main" count="432" uniqueCount="218">
  <si>
    <t>PT.REBINMAS JAYA</t>
  </si>
  <si>
    <t xml:space="preserve">DAFTAR UPAH </t>
  </si>
  <si>
    <t>WORKSHOP ARE</t>
  </si>
  <si>
    <t>L/P</t>
  </si>
  <si>
    <t>NIK</t>
  </si>
  <si>
    <t>CUTI / LIBUR</t>
  </si>
  <si>
    <t>TUNJANGAN / PREMI</t>
  </si>
  <si>
    <t>JUMLAH</t>
  </si>
  <si>
    <t xml:space="preserve">CARUMAN ASTEK </t>
  </si>
  <si>
    <t>NO.</t>
  </si>
  <si>
    <t>HARI</t>
  </si>
  <si>
    <t>UPAH</t>
  </si>
  <si>
    <t>TAHUN</t>
  </si>
  <si>
    <t>SAKIT</t>
  </si>
  <si>
    <t>HAID</t>
  </si>
  <si>
    <t>MINGGU</t>
  </si>
  <si>
    <t>NASIONAL</t>
  </si>
  <si>
    <t>HA. / MELAH.</t>
  </si>
  <si>
    <t>IZIN</t>
  </si>
  <si>
    <t>BERAS</t>
  </si>
  <si>
    <t>JABATAN</t>
  </si>
  <si>
    <t>MASA KERJA</t>
  </si>
  <si>
    <t>IURAN</t>
  </si>
  <si>
    <t>DASAR</t>
  </si>
  <si>
    <t>(Rp)</t>
  </si>
  <si>
    <t>Jumlah</t>
  </si>
  <si>
    <t>(Rp)/</t>
  </si>
  <si>
    <t>PREMI</t>
  </si>
  <si>
    <t>PEKERJA</t>
  </si>
  <si>
    <t>MAJIKAN</t>
  </si>
  <si>
    <t>SPSI</t>
  </si>
  <si>
    <t>BERSIH</t>
  </si>
  <si>
    <t>CTH</t>
  </si>
  <si>
    <t>HK</t>
  </si>
  <si>
    <t>THN</t>
  </si>
  <si>
    <t>L</t>
  </si>
  <si>
    <t>YOS SISWANTO</t>
  </si>
  <si>
    <t>AGUNG SUBOWO</t>
  </si>
  <si>
    <t>ISHARTONO</t>
  </si>
  <si>
    <t>TOTAL</t>
  </si>
  <si>
    <t>Kerani Divisi</t>
  </si>
  <si>
    <t>PT. REBINMAS JAYA</t>
  </si>
  <si>
    <t>Di buat oleh,</t>
  </si>
  <si>
    <t>HARI KERJA</t>
  </si>
  <si>
    <t>BPJS KESEHATAN</t>
  </si>
  <si>
    <t>PENSIUN PEKERJA</t>
  </si>
  <si>
    <t>DIVISI :</t>
  </si>
  <si>
    <t xml:space="preserve">JUMLAH LEMBUR </t>
  </si>
  <si>
    <t>POT. BPJS</t>
  </si>
  <si>
    <t>PPH 21</t>
  </si>
  <si>
    <t>TIDAK HADIR</t>
  </si>
  <si>
    <t>NAMA</t>
  </si>
  <si>
    <t>KARYAWAN</t>
  </si>
  <si>
    <t>KERJA</t>
  </si>
  <si>
    <t>POKOK</t>
  </si>
  <si>
    <t>KOTOR</t>
  </si>
  <si>
    <t>ALPA</t>
  </si>
  <si>
    <t>KESEHATAN</t>
  </si>
  <si>
    <t>PENSIUN</t>
  </si>
  <si>
    <t>Note :</t>
  </si>
  <si>
    <t>Upah Dasar Yang Digunakan :</t>
  </si>
  <si>
    <t>Di setujui  oleh,</t>
  </si>
  <si>
    <t>URUT</t>
  </si>
  <si>
    <t>PREMI TANGGUNG JAWAB WORKSHOP</t>
  </si>
  <si>
    <t>ESTATE</t>
  </si>
  <si>
    <t>A/C NO</t>
  </si>
  <si>
    <t>JENIS PEKERJAAN</t>
  </si>
  <si>
    <t>CUTI DIBAYAR</t>
  </si>
  <si>
    <t>JUMLAH LEMBUR</t>
  </si>
  <si>
    <t>POTONGAN</t>
  </si>
  <si>
    <t>PREMI ASTEK MAJIKAN</t>
  </si>
  <si>
    <t>POT. BPJS MAJIKAN</t>
  </si>
  <si>
    <t>PENSIUN MAJIKAN</t>
  </si>
  <si>
    <t>RP</t>
  </si>
  <si>
    <t>CUTI TAHUN</t>
  </si>
  <si>
    <t>CUTI SAKIT</t>
  </si>
  <si>
    <t>CUTI HAID</t>
  </si>
  <si>
    <t>CUTI MINGGU</t>
  </si>
  <si>
    <t>CUTI NASIONAL</t>
  </si>
  <si>
    <t>CUTI IZIN</t>
  </si>
  <si>
    <t>MASA  KERJA</t>
  </si>
  <si>
    <t>KOPERASI</t>
  </si>
  <si>
    <t xml:space="preserve">PPH21 </t>
  </si>
  <si>
    <t>ASTEK PEKERJA</t>
  </si>
  <si>
    <t>( KOTOR - POT )</t>
  </si>
  <si>
    <t>POT :</t>
  </si>
  <si>
    <t>IURAN SPSI</t>
  </si>
  <si>
    <t>TOTAL UPAH BERSIH</t>
  </si>
  <si>
    <t xml:space="preserve">PPH 21 </t>
  </si>
  <si>
    <t>WILAYAH</t>
  </si>
  <si>
    <t>CUTI HA./MEL</t>
  </si>
  <si>
    <t>ASTEK  PEKERJA + MAJIKAN</t>
  </si>
  <si>
    <t xml:space="preserve"> BPJS PESERTA + MAJIKAN</t>
  </si>
  <si>
    <t>PENSIUN PEKERJA + MAJIKAN</t>
  </si>
  <si>
    <t>: WORKSHOP ARE</t>
  </si>
  <si>
    <t>: AIR RUAK</t>
  </si>
  <si>
    <t>MEKANIK</t>
  </si>
  <si>
    <t>ELECTRICK</t>
  </si>
  <si>
    <t>GA9050</t>
  </si>
  <si>
    <t>HARRY KRISTIAN</t>
  </si>
  <si>
    <t>Supriyani</t>
  </si>
  <si>
    <t>Estate Manager ARE</t>
  </si>
  <si>
    <t>KHT     :  Rp. 108.829,47</t>
  </si>
  <si>
    <t>GRAND TOTAL</t>
  </si>
  <si>
    <t xml:space="preserve"> </t>
  </si>
  <si>
    <t xml:space="preserve">ABSENSI </t>
  </si>
  <si>
    <t>NO</t>
  </si>
  <si>
    <t>TANGGAL</t>
  </si>
  <si>
    <t>TOTAL 
HK</t>
  </si>
  <si>
    <t>JUMLAH CUTI/LIBUR</t>
  </si>
  <si>
    <t>SKT</t>
  </si>
  <si>
    <t>MG</t>
  </si>
  <si>
    <t>NAS</t>
  </si>
  <si>
    <t>H/M</t>
  </si>
  <si>
    <t>1</t>
  </si>
  <si>
    <t>2</t>
  </si>
  <si>
    <t>3</t>
  </si>
  <si>
    <t>4</t>
  </si>
  <si>
    <t>5</t>
  </si>
  <si>
    <t>HARRI KRISTIAN</t>
  </si>
  <si>
    <t xml:space="preserve">ALPA </t>
  </si>
  <si>
    <t>JAM</t>
  </si>
  <si>
    <t>RP/ JAM</t>
  </si>
  <si>
    <t>TOTAL :</t>
  </si>
  <si>
    <t>GRAND TOTAL :</t>
  </si>
  <si>
    <t>Ulih Sabar Zai S.P</t>
  </si>
  <si>
    <t>CUTI P1</t>
  </si>
  <si>
    <t>CUTI P2</t>
  </si>
  <si>
    <t>Di periksa oleh,</t>
  </si>
  <si>
    <t>ASIDO SIANTURI</t>
  </si>
  <si>
    <t>KARYAWAN BANGKEL/WORKHOSP</t>
  </si>
  <si>
    <t>No</t>
  </si>
  <si>
    <t>Tanggal</t>
  </si>
  <si>
    <t xml:space="preserve">LEMBUR BULAN </t>
  </si>
  <si>
    <t>Imron Zain</t>
  </si>
  <si>
    <t>LEBIH / KURANG PAJAK JANUARI 2024</t>
  </si>
  <si>
    <t>Masa Kerja</t>
  </si>
  <si>
    <t>INSENTIP LEBARAN</t>
  </si>
  <si>
    <t>MASA KERJA KARYAWAN</t>
  </si>
  <si>
    <t>AIR RUAK ESTATE A BUKIT PANJANG</t>
  </si>
  <si>
    <t>Nama</t>
  </si>
  <si>
    <t>Tgl Masuk</t>
  </si>
  <si>
    <t>Status</t>
  </si>
  <si>
    <t>04-03-1997</t>
  </si>
  <si>
    <t>01-03-2010</t>
  </si>
  <si>
    <t>01-04-2020</t>
  </si>
  <si>
    <t>Tgl Lahir</t>
  </si>
  <si>
    <t>Umur</t>
  </si>
  <si>
    <t>BENGKEL</t>
  </si>
  <si>
    <t>Tahun
Kerja</t>
  </si>
  <si>
    <t xml:space="preserve">Rp.Masa Kerja  </t>
  </si>
  <si>
    <t>Rp.Tunjangan 
Beras</t>
  </si>
  <si>
    <t>Bulan</t>
  </si>
  <si>
    <t>Di ketahui oleh,</t>
  </si>
  <si>
    <t>Andrias</t>
  </si>
  <si>
    <t>Asst Workshop</t>
  </si>
  <si>
    <t>C/ROLL DISTRIBUTION FOR THE MONTH OF SEPTEMBER 2024</t>
  </si>
  <si>
    <t>Askep ARE C</t>
  </si>
  <si>
    <t>Chandra Dinata Pribadi</t>
  </si>
  <si>
    <t>Senior Manager ARE</t>
  </si>
  <si>
    <t>DAFTAR GAJI KARYAWAN WORKSHOP ARE KE BANK BRI</t>
  </si>
  <si>
    <t>ACCOUNT</t>
  </si>
  <si>
    <t xml:space="preserve">AMOUNT </t>
  </si>
  <si>
    <t>NAME</t>
  </si>
  <si>
    <t>013101020637509</t>
  </si>
  <si>
    <t>013101020717503</t>
  </si>
  <si>
    <t>013101020626508</t>
  </si>
  <si>
    <t>013101036685508</t>
  </si>
  <si>
    <t>013101020652509</t>
  </si>
  <si>
    <t>Dibuat Oleh,</t>
  </si>
  <si>
    <t xml:space="preserve">Kerani Divisi </t>
  </si>
  <si>
    <t>S</t>
  </si>
  <si>
    <t>Astek Ins (0,84%)</t>
  </si>
  <si>
    <t>Ferdian Syahfutra</t>
  </si>
  <si>
    <t>Diketahui Oleh</t>
  </si>
  <si>
    <t>Manager ARE A/B1/B2</t>
  </si>
  <si>
    <t>PT REBINMAS JAYA</t>
  </si>
  <si>
    <t>REKONSILIASI GAJI MANUAL DENGAN PLANTWARE</t>
  </si>
  <si>
    <t>DIVISI BENGKEL</t>
  </si>
  <si>
    <t>CODE</t>
  </si>
  <si>
    <t>GAJI MANUAL</t>
  </si>
  <si>
    <t>GAJI PLANTWARE</t>
  </si>
  <si>
    <t>SELISIH</t>
  </si>
  <si>
    <t>URAIAN</t>
  </si>
  <si>
    <t>TOTAL SELISIH</t>
  </si>
  <si>
    <t>OT</t>
  </si>
  <si>
    <t>BERONDOL</t>
  </si>
  <si>
    <t>PREMI PANEN</t>
  </si>
  <si>
    <t xml:space="preserve">BPJS </t>
  </si>
  <si>
    <t>Manual</t>
  </si>
  <si>
    <t>Plantware</t>
  </si>
  <si>
    <t>(+/-)</t>
  </si>
  <si>
    <t xml:space="preserve">BAGIAN : MAINTENANCE </t>
  </si>
  <si>
    <t>H0167</t>
  </si>
  <si>
    <t>H0158</t>
  </si>
  <si>
    <t>H0166</t>
  </si>
  <si>
    <t>H0237</t>
  </si>
  <si>
    <t>H0389</t>
  </si>
  <si>
    <t>Diperiksa oleh,</t>
  </si>
  <si>
    <t xml:space="preserve">Diketahui, </t>
  </si>
  <si>
    <t>Di setujui oleh,</t>
  </si>
  <si>
    <t>Baharu Lumban Toruan</t>
  </si>
  <si>
    <t>Nurhuda Bima Sakti</t>
  </si>
  <si>
    <t>Kerani Divisi ARE B2</t>
  </si>
  <si>
    <t>Field Conductor ARE B2</t>
  </si>
  <si>
    <t>Askep ARE B2</t>
  </si>
  <si>
    <t xml:space="preserve">Senior Manager </t>
  </si>
  <si>
    <t>Asst. Manager ARE B2</t>
  </si>
  <si>
    <t>ESTATE B2</t>
  </si>
  <si>
    <t>CT</t>
  </si>
  <si>
    <t>TOTAL HK</t>
  </si>
  <si>
    <t>K/3</t>
  </si>
  <si>
    <t>K/1</t>
  </si>
  <si>
    <t>K/1/TK1</t>
  </si>
  <si>
    <t>LEBIH POTONG PAJAK THR</t>
  </si>
  <si>
    <t>A</t>
  </si>
  <si>
    <t>BULAN OKTOBER 2025</t>
  </si>
  <si>
    <t>BULAN :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</si>
</sst>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£&quot;#,##0;[Red]\-&quot;£&quot;#,##0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_(&quot;Rp&quot;* #,##0_);_(&quot;Rp&quot;* \(#,##0\);_(&quot;Rp&quot;* &quot;-&quot;_);_(@_)"/>
    <numFmt numFmtId="171" formatCode="_(* #,##0_);_(* \(#,##0\);_(* &quot;-&quot;??_);_(@_)"/>
    <numFmt numFmtId="172" formatCode="_(* #,##0.00_);_(* \(#,##0.00\);_(* &quot;-&quot;_);_(@_)"/>
    <numFmt numFmtId="173" formatCode="_(* #,##0_);_(* \(#,##0\);_(* &quot;-&quot;?_);_(@_)"/>
    <numFmt numFmtId="174" formatCode="_(* #,##0.0_);_(* \(#,##0.0\);_(* &quot;-&quot;??_);_(@_)"/>
    <numFmt numFmtId="175" formatCode="0.0"/>
    <numFmt numFmtId="176" formatCode="_(* #,##0.0_);_(* \(#,##0.0\);_(* &quot;-&quot;_);_(@_)"/>
    <numFmt numFmtId="177" formatCode="_-* #,##0_-;\-* #,##0_-;_-* &quot;-&quot;??_-;_-@_-"/>
    <numFmt numFmtId="178" formatCode="0%\ "/>
    <numFmt numFmtId="179" formatCode="0;[Red]0"/>
    <numFmt numFmtId="180" formatCode="0.00_);[Red]\(0.00\)"/>
    <numFmt numFmtId="181" formatCode="0.00_);\(0.00\)"/>
    <numFmt numFmtId="182" formatCode="0.00;[Red]0.00"/>
    <numFmt numFmtId="183" formatCode="0.0_);\(0.0\)"/>
    <numFmt numFmtId="184" formatCode="_(* #,##0_);_(* \(#,##0\);_(* &quot;-&quot;???_);_(@_)"/>
    <numFmt numFmtId="185" formatCode="0.000"/>
    <numFmt numFmtId="186" formatCode="_(* #,##0.00_);_(* \(#,##0.00\);_(* \-??_);_(@_)"/>
    <numFmt numFmtId="187" formatCode="#,##0.00\ ;&quot; (&quot;#,##0.00\);&quot; -&quot;#\ ;@\ "/>
    <numFmt numFmtId="188" formatCode="_(&quot;Rp&quot;* #,##0_);_(&quot;Rp&quot;* \(#,##0\);_(&quot;Rp&quot;* \-_);_(@_)"/>
    <numFmt numFmtId="189" formatCode="_(* #,##0,_);[Red]_(* \(#,##0,\);_(* &quot;&quot;&quot;&quot;&quot;&quot;&quot;&quot;\ \-\ &quot;&quot;&quot;&quot;&quot;&quot;&quot;&quot;_);_(@_)"/>
    <numFmt numFmtId="190" formatCode="0%\ ;\(0%\)"/>
    <numFmt numFmtId="191" formatCode="#,##0.00&quot; &quot;;&quot; (&quot;#,##0.00&quot;)&quot;;&quot; -&quot;#&quot; &quot;;@&quot; &quot;"/>
    <numFmt numFmtId="192" formatCode="#,##0\ ;&quot; (&quot;#,##0\);&quot; - &quot;;@\ "/>
    <numFmt numFmtId="193" formatCode="[$-421]General"/>
    <numFmt numFmtId="194" formatCode="&quot;  &quot;@"/>
    <numFmt numFmtId="195" formatCode="_(&quot;$&quot;* #,##0_);_(&quot;$&quot;* \(#,##0\);_(&quot;$&quot;* &quot;-&quot;??_);_(@_)"/>
    <numFmt numFmtId="196" formatCode="0%\ ;[Red]\(0%\)"/>
    <numFmt numFmtId="197" formatCode="0%;\(0%\)"/>
    <numFmt numFmtId="198" formatCode="#,##0.000_);[Red]\(#,##0.000\)"/>
    <numFmt numFmtId="199" formatCode="[Red]&quot;$&quot;#,##0_);[Red]&quot;$&quot;\(#,##0\)"/>
    <numFmt numFmtId="200" formatCode="&quot;          &quot;@"/>
    <numFmt numFmtId="201" formatCode="[Red]#,##0_);[Red]\(#,##0\)"/>
    <numFmt numFmtId="202" formatCode="0.0000000000"/>
    <numFmt numFmtId="203" formatCode="0_);\(0\)"/>
    <numFmt numFmtId="204" formatCode="0.0_);[Red]\(0.0\)"/>
    <numFmt numFmtId="205" formatCode="m\-yy"/>
    <numFmt numFmtId="206" formatCode="_ * #,##0_ ;_ * \-#,##0_ ;_ * &quot;-&quot;_ ;_ @_ "/>
    <numFmt numFmtId="207" formatCode="_-&quot;IR£&quot;* #,##0.00_-;\-&quot;IR£&quot;* #,##0.00_-;_-&quot;IR£&quot;* &quot;-&quot;??_-;_-@_-"/>
    <numFmt numFmtId="208" formatCode="_(* #,##0.000000_);_(* \(#,##0.000000\);_(* &quot;-&quot;??_);_(@_)"/>
    <numFmt numFmtId="209" formatCode="0.00_)"/>
    <numFmt numFmtId="210" formatCode="###0.0_);[Red]\(###0.0\)"/>
    <numFmt numFmtId="211" formatCode="_(* #,##0_);_(* \(#,##0\);_(* \-_);_(@_)"/>
    <numFmt numFmtId="212" formatCode="&quot;IR£&quot;#,##0.00;[Red]\-&quot;IR£&quot;#,##0.00"/>
    <numFmt numFmtId="213" formatCode="dd/mm/yyyy;@"/>
    <numFmt numFmtId="214" formatCode="_-[$Rp-421]* #,##0_ ;_-[$Rp-421]* \-#,##0\ ;_-[$Rp-421]* &quot;-&quot;??_ ;_-@_ "/>
    <numFmt numFmtId="215" formatCode="_([$Rp-421]* #,##0_);_([$Rp-421]* \(#,##0\);_([$Rp-421]* &quot;-&quot;_);_(@_)"/>
  </numFmts>
  <fonts count="195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4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sz val="11"/>
      <color theme="0"/>
      <name val="Arial Narrow"/>
      <family val="2"/>
    </font>
    <font>
      <sz val="12"/>
      <color theme="1"/>
      <name val="Arial Narrow"/>
      <family val="2"/>
    </font>
    <font>
      <b/>
      <u/>
      <sz val="16"/>
      <name val="Cambria"/>
      <family val="1"/>
      <scheme val="major"/>
    </font>
    <font>
      <b/>
      <sz val="16"/>
      <name val="Cambria"/>
      <family val="1"/>
      <scheme val="major"/>
    </font>
    <font>
      <sz val="16"/>
      <name val="Cambria"/>
      <family val="1"/>
      <scheme val="major"/>
    </font>
    <font>
      <b/>
      <sz val="14"/>
      <name val="Cambria"/>
      <family val="1"/>
      <scheme val="maj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"/>
      <family val="2"/>
    </font>
    <font>
      <sz val="12"/>
      <color theme="0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color theme="0"/>
      <name val="Arial Narrow"/>
      <family val="2"/>
    </font>
    <font>
      <sz val="14"/>
      <color theme="0"/>
      <name val="Arial Narrow"/>
      <family val="2"/>
    </font>
    <font>
      <sz val="10"/>
      <color theme="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  <charset val="1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rgb="FF000000"/>
      <name val="Calibri"/>
      <family val="2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b/>
      <sz val="9"/>
      <name val="Arial"/>
      <family val="2"/>
    </font>
    <font>
      <sz val="12"/>
      <name val="Helv"/>
    </font>
    <font>
      <sz val="10"/>
      <name val="Times New Roman"/>
      <family val="1"/>
    </font>
    <font>
      <sz val="12"/>
      <name val="¹ÙÅÁÃ¼"/>
    </font>
    <font>
      <sz val="12"/>
      <color indexed="8"/>
      <name val="Times New Roman"/>
      <family val="1"/>
    </font>
    <font>
      <sz val="11"/>
      <color indexed="9"/>
      <name val="Calibri"/>
      <family val="2"/>
    </font>
    <font>
      <sz val="12"/>
      <color indexed="9"/>
      <name val="Times New Roman"/>
      <family val="1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2"/>
      <color indexed="52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1"/>
    </font>
    <font>
      <i/>
      <sz val="11"/>
      <color indexed="23"/>
      <name val="Calibri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2"/>
      <color indexed="17"/>
      <name val="Times New Roman"/>
      <family val="1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Times New Roman"/>
      <family val="1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Times New Roman"/>
      <family val="1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Times New Roman"/>
      <family val="1"/>
    </font>
    <font>
      <sz val="11"/>
      <color indexed="62"/>
      <name val="Calibri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2"/>
      <color indexed="52"/>
      <name val="Times New Roman"/>
      <family val="1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2"/>
      <color indexed="60"/>
      <name val="Times New Roman"/>
      <family val="1"/>
    </font>
    <font>
      <sz val="11"/>
      <color indexed="8"/>
      <name val="Calibri"/>
      <family val="2"/>
      <charset val="134"/>
    </font>
    <font>
      <sz val="10"/>
      <name val="Calisto MT"/>
      <family val="1"/>
    </font>
    <font>
      <b/>
      <sz val="11"/>
      <color indexed="63"/>
      <name val="Calibri"/>
      <family val="2"/>
    </font>
    <font>
      <b/>
      <sz val="12"/>
      <color indexed="63"/>
      <name val="Times New Roman"/>
      <family val="1"/>
    </font>
    <font>
      <b/>
      <i/>
      <sz val="8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sz val="11"/>
      <color indexed="10"/>
      <name val="Calibri"/>
      <family val="2"/>
    </font>
    <font>
      <sz val="12"/>
      <color indexed="10"/>
      <name val="Times New Roman"/>
      <family val="1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3"/>
      <color theme="1"/>
      <name val="Arial Narrow"/>
      <family val="2"/>
    </font>
    <font>
      <b/>
      <sz val="13"/>
      <color theme="1"/>
      <name val="Arial Narrow"/>
      <family val="2"/>
    </font>
    <font>
      <sz val="9"/>
      <color theme="1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Arial Narrow"/>
      <family val="2"/>
    </font>
    <font>
      <b/>
      <u/>
      <sz val="15"/>
      <color theme="1"/>
      <name val="Arial Narrow"/>
      <family val="2"/>
    </font>
    <font>
      <b/>
      <u/>
      <sz val="13"/>
      <color theme="1"/>
      <name val="Arial Narrow"/>
      <family val="2"/>
    </font>
    <font>
      <b/>
      <sz val="15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u/>
      <sz val="13"/>
      <name val="Arial Narrow"/>
      <family val="2"/>
    </font>
    <font>
      <b/>
      <u/>
      <sz val="14"/>
      <color theme="0"/>
      <name val="Arial Narrow"/>
      <family val="2"/>
    </font>
    <font>
      <b/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5"/>
      <color theme="0"/>
      <name val="Arial Narrow"/>
      <family val="2"/>
    </font>
    <font>
      <b/>
      <u/>
      <sz val="13"/>
      <color theme="0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Arial"/>
      <family val="2"/>
    </font>
    <font>
      <b/>
      <u/>
      <sz val="12"/>
      <color theme="0"/>
      <name val="Arial"/>
      <family val="2"/>
    </font>
    <font>
      <sz val="12"/>
      <color theme="0"/>
      <name val="Arial"/>
      <family val="2"/>
    </font>
    <font>
      <sz val="11"/>
      <color indexed="8"/>
      <name val="Calibri"/>
      <family val="2"/>
      <charset val="1"/>
    </font>
    <font>
      <b/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sz val="6"/>
      <color rgb="FF000000"/>
      <name val="Arial Narrow"/>
      <family val="2"/>
    </font>
    <font>
      <sz val="6"/>
      <color rgb="FFFF0000"/>
      <name val="Arial Narrow"/>
      <family val="2"/>
    </font>
    <font>
      <sz val="6"/>
      <color rgb="FF00FFFF"/>
      <name val="Arial Narrow"/>
      <family val="2"/>
    </font>
    <font>
      <sz val="7"/>
      <color rgb="FF00FFFF"/>
      <name val="Arial Narrow"/>
      <family val="2"/>
    </font>
    <font>
      <sz val="6"/>
      <color rgb="FF008080"/>
      <name val="Arial Narrow"/>
      <family val="2"/>
    </font>
    <font>
      <sz val="8"/>
      <color rgb="FF008080"/>
      <name val="Arial Narrow"/>
      <family val="2"/>
    </font>
    <font>
      <sz val="7"/>
      <color rgb="FF008080"/>
      <name val="Arial Narrow"/>
      <family val="2"/>
    </font>
    <font>
      <sz val="7"/>
      <color rgb="FF000000"/>
      <name val="Arial Narrow"/>
      <family val="2"/>
    </font>
    <font>
      <sz val="8"/>
      <color rgb="FF0000FF"/>
      <name val="Arial Narrow"/>
      <family val="2"/>
    </font>
    <font>
      <sz val="6"/>
      <color rgb="FF0000FF"/>
      <name val="Arial Narrow"/>
      <family val="2"/>
    </font>
    <font>
      <sz val="7"/>
      <color rgb="FF0000FF"/>
      <name val="Arial Narrow"/>
      <family val="2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11"/>
      <color rgb="FF000000"/>
      <name val="Arial Narrow"/>
      <family val="2"/>
    </font>
    <font>
      <b/>
      <sz val="10"/>
      <color rgb="FFFF0000"/>
      <name val="Arial"/>
      <family val="2"/>
    </font>
    <font>
      <sz val="8"/>
      <color rgb="FF000000"/>
      <name val="Arial Narrow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b/>
      <u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sz val="13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sz val="10"/>
      <color theme="0"/>
      <name val="Tahoma"/>
      <family val="2"/>
    </font>
    <font>
      <b/>
      <sz val="11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sz val="15"/>
      <name val="Tahoma"/>
      <family val="2"/>
    </font>
    <font>
      <sz val="13"/>
      <name val="Tahoma"/>
      <family val="2"/>
    </font>
    <font>
      <sz val="13"/>
      <color theme="0"/>
      <name val="Tahoma"/>
      <family val="2"/>
    </font>
    <font>
      <b/>
      <sz val="15"/>
      <name val="Tahoma"/>
      <family val="2"/>
    </font>
    <font>
      <b/>
      <sz val="10"/>
      <name val="Tahoma"/>
      <family val="2"/>
    </font>
    <font>
      <b/>
      <sz val="14"/>
      <color theme="0"/>
      <name val="Tahoma"/>
      <family val="2"/>
    </font>
    <font>
      <sz val="14"/>
      <color theme="0"/>
      <name val="Tahoma"/>
      <family val="2"/>
    </font>
    <font>
      <sz val="11"/>
      <name val="Tahoma"/>
      <family val="2"/>
    </font>
    <font>
      <b/>
      <u/>
      <sz val="15"/>
      <name val="Tahoma"/>
      <family val="2"/>
    </font>
    <font>
      <sz val="11"/>
      <color theme="1"/>
      <name val="Tahoma"/>
      <family val="2"/>
    </font>
    <font>
      <b/>
      <sz val="16"/>
      <color theme="1"/>
      <name val="Tahoma"/>
      <family val="2"/>
    </font>
    <font>
      <sz val="18"/>
      <color theme="1"/>
      <name val="Tahoma"/>
      <family val="2"/>
    </font>
    <font>
      <sz val="16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sz val="11"/>
      <color theme="0"/>
      <name val="Tahoma"/>
      <family val="2"/>
    </font>
    <font>
      <b/>
      <u/>
      <sz val="11"/>
      <color theme="1"/>
      <name val="Tahoma"/>
      <family val="2"/>
    </font>
    <font>
      <sz val="10"/>
      <name val="Calibri"/>
      <family val="2"/>
      <scheme val="minor"/>
    </font>
    <font>
      <sz val="16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866">
    <xf numFmtId="0" fontId="0" fillId="0" borderId="0"/>
    <xf numFmtId="0" fontId="11" fillId="0" borderId="0"/>
    <xf numFmtId="0" fontId="11" fillId="0" borderId="0">
      <alignment vertical="top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43" fontId="12" fillId="0" borderId="0" applyFont="0" applyFill="0" applyBorder="0" applyAlignment="0" applyProtection="0"/>
    <xf numFmtId="0" fontId="12" fillId="0" borderId="0"/>
    <xf numFmtId="0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>
      <alignment vertical="top"/>
    </xf>
    <xf numFmtId="0" fontId="11" fillId="0" borderId="0"/>
    <xf numFmtId="0" fontId="11" fillId="0" borderId="0"/>
    <xf numFmtId="0" fontId="10" fillId="0" borderId="0"/>
    <xf numFmtId="0" fontId="11" fillId="0" borderId="0"/>
    <xf numFmtId="41" fontId="11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1" fontId="27" fillId="0" borderId="0" applyFont="0" applyFill="0" applyBorder="0" applyAlignment="0" applyProtection="0"/>
    <xf numFmtId="169" fontId="29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38" fillId="0" borderId="0">
      <alignment horizontal="center" wrapText="1"/>
      <protection locked="0"/>
    </xf>
    <xf numFmtId="178" fontId="39" fillId="0" borderId="0" applyFill="0" applyBorder="0" applyAlignment="0"/>
    <xf numFmtId="174" fontId="11" fillId="0" borderId="0" applyFill="0" applyBorder="0" applyAlignment="0"/>
    <xf numFmtId="179" fontId="11" fillId="0" borderId="0" applyFill="0" applyBorder="0" applyAlignment="0"/>
    <xf numFmtId="180" fontId="11" fillId="0" borderId="0" applyFill="0" applyBorder="0" applyAlignment="0"/>
    <xf numFmtId="181" fontId="11" fillId="0" borderId="0" applyFill="0" applyBorder="0" applyAlignment="0"/>
    <xf numFmtId="182" fontId="11" fillId="0" borderId="0" applyFill="0" applyBorder="0" applyAlignment="0"/>
    <xf numFmtId="183" fontId="11" fillId="0" borderId="0" applyFill="0" applyBorder="0" applyAlignment="0"/>
    <xf numFmtId="174" fontId="11" fillId="0" borderId="0" applyFill="0" applyBorder="0" applyAlignment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8" fillId="0" borderId="0" applyFont="0" applyFill="0" applyBorder="0" applyAlignment="0" applyProtection="0"/>
    <xf numFmtId="172" fontId="40" fillId="0" borderId="0" applyFill="0" applyBorder="0" applyAlignment="0" applyProtection="0"/>
    <xf numFmtId="172" fontId="40" fillId="0" borderId="0" applyFill="0" applyBorder="0" applyAlignment="0" applyProtection="0"/>
    <xf numFmtId="172" fontId="40" fillId="0" borderId="0" applyFill="0" applyBorder="0" applyAlignment="0" applyProtection="0"/>
    <xf numFmtId="172" fontId="40" fillId="0" borderId="0" applyFill="0" applyBorder="0" applyAlignment="0" applyProtection="0"/>
    <xf numFmtId="172" fontId="40" fillId="0" borderId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4" fontId="40" fillId="0" borderId="0" applyFill="0" applyBorder="0" applyAlignment="0" applyProtection="0"/>
    <xf numFmtId="164" fontId="40" fillId="0" borderId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40" fillId="0" borderId="0" applyFill="0" applyBorder="0" applyAlignment="0" applyProtection="0"/>
    <xf numFmtId="184" fontId="40" fillId="0" borderId="0" applyFill="0" applyBorder="0" applyAlignment="0" applyProtection="0"/>
    <xf numFmtId="175" fontId="40" fillId="0" borderId="0" applyFill="0" applyBorder="0" applyAlignment="0" applyProtection="0"/>
    <xf numFmtId="176" fontId="40" fillId="0" borderId="0" applyFill="0" applyBorder="0" applyAlignment="0" applyProtection="0"/>
    <xf numFmtId="185" fontId="40" fillId="0" borderId="0" applyFill="0" applyBorder="0" applyAlignment="0" applyProtection="0"/>
    <xf numFmtId="185" fontId="40" fillId="0" borderId="0" applyFill="0" applyBorder="0" applyAlignment="0" applyProtection="0"/>
    <xf numFmtId="186" fontId="40" fillId="0" borderId="0" applyFill="0" applyBorder="0" applyAlignment="0" applyProtection="0"/>
    <xf numFmtId="176" fontId="40" fillId="0" borderId="0" applyFill="0" applyBorder="0" applyAlignment="0" applyProtection="0"/>
    <xf numFmtId="185" fontId="40" fillId="0" borderId="0" applyFill="0" applyBorder="0" applyAlignment="0" applyProtection="0"/>
    <xf numFmtId="185" fontId="40" fillId="0" borderId="0" applyFill="0" applyBorder="0" applyAlignment="0" applyProtection="0"/>
    <xf numFmtId="4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7" fontId="41" fillId="0" borderId="0"/>
    <xf numFmtId="169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87" fontId="42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3" fillId="0" borderId="0" applyNumberFormat="0" applyAlignment="0">
      <alignment horizontal="left"/>
    </xf>
    <xf numFmtId="170" fontId="11" fillId="0" borderId="0" applyFont="0" applyFill="0" applyBorder="0" applyAlignment="0" applyProtection="0"/>
    <xf numFmtId="188" fontId="40" fillId="0" borderId="0" applyFill="0" applyBorder="0" applyAlignment="0" applyProtection="0"/>
    <xf numFmtId="174" fontId="11" fillId="0" borderId="0" applyFont="0" applyFill="0" applyBorder="0" applyAlignment="0" applyProtection="0"/>
    <xf numFmtId="189" fontId="11" fillId="0" borderId="0" applyFont="0" applyFill="0" applyBorder="0" applyAlignment="0"/>
    <xf numFmtId="8" fontId="11" fillId="0" borderId="0" applyFont="0" applyFill="0" applyBorder="0" applyAlignment="0"/>
    <xf numFmtId="171" fontId="7" fillId="0" borderId="0" applyFont="0" applyFill="0" applyBorder="0" applyAlignment="0" applyProtection="0"/>
    <xf numFmtId="15" fontId="35" fillId="0" borderId="0" applyFill="0" applyBorder="0" applyAlignment="0"/>
    <xf numFmtId="190" fontId="11" fillId="4" borderId="0" applyFont="0" applyFill="0" applyBorder="0" applyAlignment="0" applyProtection="0"/>
    <xf numFmtId="190" fontId="11" fillId="4" borderId="40" applyFont="0" applyFill="0" applyBorder="0" applyAlignment="0" applyProtection="0"/>
    <xf numFmtId="17" fontId="35" fillId="0" borderId="0" applyFill="0" applyBorder="0">
      <alignment horizontal="right"/>
    </xf>
    <xf numFmtId="14" fontId="37" fillId="0" borderId="0" applyFill="0" applyBorder="0" applyAlignment="0"/>
    <xf numFmtId="182" fontId="11" fillId="0" borderId="0" applyFill="0" applyBorder="0" applyAlignment="0"/>
    <xf numFmtId="174" fontId="11" fillId="0" borderId="0" applyFill="0" applyBorder="0" applyAlignment="0"/>
    <xf numFmtId="182" fontId="11" fillId="0" borderId="0" applyFill="0" applyBorder="0" applyAlignment="0"/>
    <xf numFmtId="183" fontId="11" fillId="0" borderId="0" applyFill="0" applyBorder="0" applyAlignment="0"/>
    <xf numFmtId="174" fontId="11" fillId="0" borderId="0" applyFill="0" applyBorder="0" applyAlignment="0"/>
    <xf numFmtId="0" fontId="44" fillId="0" borderId="0" applyNumberFormat="0" applyAlignment="0">
      <alignment horizontal="left"/>
    </xf>
    <xf numFmtId="191" fontId="45" fillId="0" borderId="0" applyBorder="0" applyProtection="0"/>
    <xf numFmtId="192" fontId="41" fillId="0" borderId="0"/>
    <xf numFmtId="193" fontId="45" fillId="0" borderId="0" applyBorder="0" applyProtection="0"/>
    <xf numFmtId="0" fontId="42" fillId="0" borderId="0"/>
    <xf numFmtId="0" fontId="41" fillId="0" borderId="0"/>
    <xf numFmtId="194" fontId="11" fillId="4" borderId="0" applyFont="0" applyFill="0" applyBorder="0" applyAlignment="0"/>
    <xf numFmtId="38" fontId="36" fillId="5" borderId="0" applyNumberFormat="0" applyBorder="0" applyAlignment="0" applyProtection="0"/>
    <xf numFmtId="0" fontId="30" fillId="0" borderId="38" applyNumberFormat="0" applyAlignment="0" applyProtection="0">
      <alignment horizontal="left" vertical="center"/>
    </xf>
    <xf numFmtId="0" fontId="30" fillId="0" borderId="15">
      <alignment horizontal="left" vertical="center"/>
    </xf>
    <xf numFmtId="0" fontId="46" fillId="0" borderId="60">
      <alignment horizontal="center"/>
    </xf>
    <xf numFmtId="0" fontId="46" fillId="0" borderId="0">
      <alignment horizontal="center"/>
    </xf>
    <xf numFmtId="10" fontId="36" fillId="4" borderId="21" applyNumberFormat="0" applyBorder="0" applyAlignment="0" applyProtection="0"/>
    <xf numFmtId="8" fontId="36" fillId="4" borderId="0" applyFont="0" applyBorder="0" applyAlignment="0" applyProtection="0">
      <protection locked="0"/>
    </xf>
    <xf numFmtId="15" fontId="36" fillId="4" borderId="0" applyFont="0" applyBorder="0" applyAlignment="0" applyProtection="0">
      <protection locked="0"/>
    </xf>
    <xf numFmtId="194" fontId="11" fillId="4" borderId="0" applyFont="0" applyBorder="0" applyAlignment="0">
      <protection locked="0"/>
    </xf>
    <xf numFmtId="38" fontId="36" fillId="4" borderId="0">
      <protection locked="0"/>
    </xf>
    <xf numFmtId="167" fontId="11" fillId="4" borderId="0" applyFont="0" applyBorder="0" applyAlignment="0">
      <protection locked="0"/>
    </xf>
    <xf numFmtId="10" fontId="36" fillId="4" borderId="0">
      <protection locked="0"/>
    </xf>
    <xf numFmtId="195" fontId="11" fillId="4" borderId="0" applyNumberFormat="0" applyBorder="0" applyAlignment="0">
      <protection locked="0"/>
    </xf>
    <xf numFmtId="182" fontId="11" fillId="0" borderId="0" applyFill="0" applyBorder="0" applyAlignment="0"/>
    <xf numFmtId="174" fontId="11" fillId="0" borderId="0" applyFill="0" applyBorder="0" applyAlignment="0"/>
    <xf numFmtId="182" fontId="11" fillId="0" borderId="0" applyFill="0" applyBorder="0" applyAlignment="0"/>
    <xf numFmtId="183" fontId="11" fillId="0" borderId="0" applyFill="0" applyBorder="0" applyAlignment="0"/>
    <xf numFmtId="174" fontId="11" fillId="0" borderId="0" applyFill="0" applyBorder="0" applyAlignment="0"/>
    <xf numFmtId="196" fontId="11" fillId="5" borderId="0" applyFont="0" applyBorder="0" applyAlignment="0" applyProtection="0">
      <alignment horizontal="right"/>
      <protection hidden="1"/>
    </xf>
    <xf numFmtId="197" fontId="11" fillId="0" borderId="0"/>
    <xf numFmtId="38" fontId="36" fillId="0" borderId="0" applyFont="0" applyFill="0" applyBorder="0" applyAlignment="0"/>
    <xf numFmtId="195" fontId="11" fillId="0" borderId="0" applyFont="0" applyFill="0" applyBorder="0" applyAlignment="0"/>
    <xf numFmtId="40" fontId="36" fillId="0" borderId="0" applyFont="0" applyFill="0" applyBorder="0" applyAlignment="0"/>
    <xf numFmtId="198" fontId="36" fillId="0" borderId="0" applyFont="0" applyFill="0" applyBorder="0" applyAlignment="0"/>
    <xf numFmtId="0" fontId="11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0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40" fillId="0" borderId="0"/>
    <xf numFmtId="0" fontId="8" fillId="0" borderId="0"/>
    <xf numFmtId="0" fontId="40" fillId="0" borderId="0"/>
    <xf numFmtId="195" fontId="11" fillId="0" borderId="0" applyNumberFormat="0" applyFill="0" applyBorder="0" applyAlignment="0" applyProtection="0"/>
    <xf numFmtId="199" fontId="11" fillId="0" borderId="0" applyFont="0" applyFill="0" applyBorder="0" applyAlignment="0" applyProtection="0"/>
    <xf numFmtId="200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201" fontId="11" fillId="0" borderId="0"/>
    <xf numFmtId="14" fontId="38" fillId="0" borderId="0">
      <alignment horizontal="center" wrapText="1"/>
      <protection locked="0"/>
    </xf>
    <xf numFmtId="181" fontId="11" fillId="0" borderId="0" applyFont="0" applyFill="0" applyBorder="0" applyAlignment="0" applyProtection="0"/>
    <xf numFmtId="197" fontId="11" fillId="0" borderId="0" applyFont="0" applyFill="0" applyBorder="0" applyAlignment="0" applyProtection="0"/>
    <xf numFmtId="167" fontId="11" fillId="0" borderId="0" applyFont="0" applyFill="0" applyBorder="0" applyAlignment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202" fontId="11" fillId="0" borderId="0" applyFont="0" applyFill="0" applyBorder="0" applyAlignment="0" applyProtection="0"/>
    <xf numFmtId="182" fontId="11" fillId="0" borderId="0" applyFill="0" applyBorder="0" applyAlignment="0"/>
    <xf numFmtId="174" fontId="11" fillId="0" borderId="0" applyFill="0" applyBorder="0" applyAlignment="0"/>
    <xf numFmtId="182" fontId="11" fillId="0" borderId="0" applyFill="0" applyBorder="0" applyAlignment="0"/>
    <xf numFmtId="183" fontId="11" fillId="0" borderId="0" applyFill="0" applyBorder="0" applyAlignment="0"/>
    <xf numFmtId="174" fontId="11" fillId="0" borderId="0" applyFill="0" applyBorder="0" applyAlignment="0"/>
    <xf numFmtId="195" fontId="11" fillId="0" borderId="0" applyNumberFormat="0" applyFill="0" applyBorder="0" applyAlignment="0" applyProtection="0">
      <alignment horizontal="left"/>
    </xf>
    <xf numFmtId="0" fontId="47" fillId="6" borderId="0" applyNumberFormat="0" applyFont="0" applyBorder="0" applyAlignment="0">
      <alignment horizontal="center"/>
    </xf>
    <xf numFmtId="14" fontId="48" fillId="0" borderId="0" applyNumberFormat="0" applyFill="0" applyBorder="0" applyAlignment="0" applyProtection="0">
      <alignment horizontal="left"/>
    </xf>
    <xf numFmtId="0" fontId="49" fillId="0" borderId="0">
      <alignment horizontal="left" vertical="center"/>
    </xf>
    <xf numFmtId="0" fontId="49" fillId="0" borderId="0">
      <alignment horizontal="center" vertical="center"/>
    </xf>
    <xf numFmtId="0" fontId="49" fillId="0" borderId="0">
      <alignment horizontal="center" vertical="center"/>
    </xf>
    <xf numFmtId="0" fontId="49" fillId="0" borderId="0">
      <alignment horizontal="right" vertical="center"/>
    </xf>
    <xf numFmtId="0" fontId="49" fillId="0" borderId="0">
      <alignment horizontal="left" vertical="center"/>
    </xf>
    <xf numFmtId="0" fontId="49" fillId="0" borderId="0">
      <alignment horizontal="right" vertical="center"/>
    </xf>
    <xf numFmtId="0" fontId="50" fillId="0" borderId="0">
      <alignment horizontal="right" vertical="center"/>
    </xf>
    <xf numFmtId="0" fontId="50" fillId="0" borderId="0">
      <alignment horizontal="right" vertical="center"/>
    </xf>
    <xf numFmtId="0" fontId="51" fillId="0" borderId="0">
      <alignment horizontal="right" vertical="center"/>
    </xf>
    <xf numFmtId="0" fontId="51" fillId="0" borderId="0">
      <alignment horizontal="left" vertical="center"/>
    </xf>
    <xf numFmtId="0" fontId="51" fillId="0" borderId="0">
      <alignment horizontal="left" vertical="center"/>
    </xf>
    <xf numFmtId="0" fontId="52" fillId="0" borderId="0">
      <alignment horizontal="right" vertical="center"/>
    </xf>
    <xf numFmtId="0" fontId="49" fillId="0" borderId="0">
      <alignment horizontal="center" vertical="top"/>
    </xf>
    <xf numFmtId="0" fontId="52" fillId="0" borderId="0">
      <alignment horizontal="right" vertical="center"/>
    </xf>
    <xf numFmtId="0" fontId="53" fillId="0" borderId="0">
      <alignment horizontal="left" vertical="top"/>
    </xf>
    <xf numFmtId="0" fontId="49" fillId="0" borderId="0">
      <alignment horizontal="right" vertical="top"/>
    </xf>
    <xf numFmtId="0" fontId="54" fillId="0" borderId="0">
      <alignment horizontal="left" vertical="center"/>
    </xf>
    <xf numFmtId="0" fontId="52" fillId="0" borderId="0">
      <alignment horizontal="left" vertical="center"/>
    </xf>
    <xf numFmtId="0" fontId="55" fillId="0" borderId="0">
      <alignment horizontal="left" vertical="center"/>
    </xf>
    <xf numFmtId="0" fontId="53" fillId="0" borderId="0">
      <alignment horizontal="left" vertical="top"/>
    </xf>
    <xf numFmtId="0" fontId="52" fillId="0" borderId="0">
      <alignment horizontal="left" vertical="center"/>
    </xf>
    <xf numFmtId="0" fontId="49" fillId="0" borderId="0">
      <alignment horizontal="left" vertical="center"/>
    </xf>
    <xf numFmtId="0" fontId="47" fillId="1" borderId="15" applyNumberFormat="0" applyFont="0" applyAlignment="0">
      <alignment horizontal="center"/>
    </xf>
    <xf numFmtId="0" fontId="56" fillId="0" borderId="0" applyNumberFormat="0" applyFill="0" applyBorder="0" applyAlignment="0">
      <alignment horizontal="center"/>
    </xf>
    <xf numFmtId="195" fontId="11" fillId="7" borderId="0" applyNumberFormat="0" applyFont="0" applyBorder="0" applyAlignment="0">
      <protection hidden="1"/>
    </xf>
    <xf numFmtId="40" fontId="57" fillId="0" borderId="0" applyBorder="0">
      <alignment horizontal="right"/>
    </xf>
    <xf numFmtId="195" fontId="11" fillId="8" borderId="0" applyNumberFormat="0" applyFont="0" applyBorder="0" applyAlignment="0" applyProtection="0"/>
    <xf numFmtId="49" fontId="37" fillId="0" borderId="0" applyFill="0" applyBorder="0" applyAlignment="0"/>
    <xf numFmtId="203" fontId="11" fillId="0" borderId="0" applyFill="0" applyBorder="0" applyAlignment="0"/>
    <xf numFmtId="204" fontId="11" fillId="0" borderId="0" applyFill="0" applyBorder="0" applyAlignment="0"/>
    <xf numFmtId="205" fontId="11" fillId="0" borderId="0" applyFill="0" applyBorder="0" applyAlignment="0" applyProtection="0">
      <alignment horizontal="right"/>
    </xf>
    <xf numFmtId="195" fontId="11" fillId="0" borderId="0" applyNumberFormat="0" applyFill="0" applyBorder="0" applyAlignment="0" applyProtection="0"/>
    <xf numFmtId="41" fontId="11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206" fontId="11" fillId="0" borderId="0">
      <protection locked="0"/>
    </xf>
    <xf numFmtId="207" fontId="11" fillId="0" borderId="0">
      <protection locked="0"/>
    </xf>
    <xf numFmtId="207" fontId="11" fillId="0" borderId="0">
      <protection locked="0"/>
    </xf>
    <xf numFmtId="207" fontId="11" fillId="0" borderId="0">
      <protection locked="0"/>
    </xf>
    <xf numFmtId="207" fontId="11" fillId="0" borderId="0">
      <protection locked="0"/>
    </xf>
    <xf numFmtId="208" fontId="59" fillId="0" borderId="0">
      <protection locked="0"/>
    </xf>
    <xf numFmtId="207" fontId="11" fillId="0" borderId="0">
      <protection locked="0"/>
    </xf>
    <xf numFmtId="209" fontId="60" fillId="0" borderId="0">
      <protection locked="0"/>
    </xf>
    <xf numFmtId="207" fontId="11" fillId="0" borderId="0">
      <protection locked="0"/>
    </xf>
    <xf numFmtId="206" fontId="11" fillId="0" borderId="0">
      <protection locked="0"/>
    </xf>
    <xf numFmtId="207" fontId="11" fillId="0" borderId="0">
      <protection locked="0"/>
    </xf>
    <xf numFmtId="207" fontId="11" fillId="0" borderId="0">
      <protection locked="0"/>
    </xf>
    <xf numFmtId="207" fontId="11" fillId="0" borderId="0">
      <protection locked="0"/>
    </xf>
    <xf numFmtId="207" fontId="11" fillId="0" borderId="0">
      <protection locked="0"/>
    </xf>
    <xf numFmtId="208" fontId="59" fillId="0" borderId="0">
      <protection locked="0"/>
    </xf>
    <xf numFmtId="207" fontId="11" fillId="0" borderId="0">
      <protection locked="0"/>
    </xf>
    <xf numFmtId="209" fontId="60" fillId="0" borderId="0">
      <protection locked="0"/>
    </xf>
    <xf numFmtId="207" fontId="11" fillId="0" borderId="0">
      <protection locked="0"/>
    </xf>
    <xf numFmtId="9" fontId="61" fillId="0" borderId="0" applyFont="0" applyFill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62" fillId="9" borderId="0" applyNumberFormat="0" applyBorder="0" applyAlignment="0" applyProtection="0"/>
    <xf numFmtId="0" fontId="6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6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6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6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62" fillId="17" borderId="0" applyNumberFormat="0" applyBorder="0" applyAlignment="0" applyProtection="0"/>
    <xf numFmtId="0" fontId="6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62" fillId="20" borderId="0" applyNumberFormat="0" applyBorder="0" applyAlignment="0" applyProtection="0"/>
    <xf numFmtId="0" fontId="6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3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6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4" borderId="0" applyNumberFormat="0" applyBorder="0" applyAlignment="0" applyProtection="0"/>
    <xf numFmtId="0" fontId="6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7" borderId="0" applyNumberFormat="0" applyBorder="0" applyAlignment="0" applyProtection="0"/>
    <xf numFmtId="0" fontId="62" fillId="25" borderId="0" applyNumberFormat="0" applyBorder="0" applyAlignment="0" applyProtection="0"/>
    <xf numFmtId="0" fontId="6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22" borderId="0" applyNumberFormat="0" applyBorder="0" applyAlignment="0" applyProtection="0"/>
    <xf numFmtId="0" fontId="6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6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13" borderId="0" applyNumberFormat="0" applyBorder="0" applyAlignment="0" applyProtection="0"/>
    <xf numFmtId="0" fontId="6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30" borderId="0" applyNumberFormat="0" applyBorder="0" applyAlignment="0" applyProtection="0"/>
    <xf numFmtId="0" fontId="64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9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31" borderId="0" applyNumberFormat="0" applyBorder="0" applyAlignment="0" applyProtection="0"/>
    <xf numFmtId="0" fontId="64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3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32" borderId="0" applyNumberFormat="0" applyBorder="0" applyAlignment="0" applyProtection="0"/>
    <xf numFmtId="0" fontId="64" fillId="25" borderId="0" applyNumberFormat="0" applyBorder="0" applyAlignment="0" applyProtection="0"/>
    <xf numFmtId="0" fontId="64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25" borderId="0" applyNumberFormat="0" applyBorder="0" applyAlignment="0" applyProtection="0"/>
    <xf numFmtId="0" fontId="63" fillId="26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22" borderId="0" applyNumberFormat="0" applyBorder="0" applyAlignment="0" applyProtection="0"/>
    <xf numFmtId="0" fontId="64" fillId="33" borderId="0" applyNumberFormat="0" applyBorder="0" applyAlignment="0" applyProtection="0"/>
    <xf numFmtId="0" fontId="64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0" borderId="0" applyNumberFormat="0" applyBorder="0" applyAlignment="0" applyProtection="0"/>
    <xf numFmtId="0" fontId="64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13" borderId="0" applyNumberFormat="0" applyBorder="0" applyAlignment="0" applyProtection="0"/>
    <xf numFmtId="0" fontId="64" fillId="36" borderId="0" applyNumberFormat="0" applyBorder="0" applyAlignment="0" applyProtection="0"/>
    <xf numFmtId="0" fontId="64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0" borderId="0" applyNumberFormat="0" applyBorder="0" applyAlignment="0" applyProtection="0"/>
    <xf numFmtId="0" fontId="64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8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1" borderId="0" applyNumberFormat="0" applyBorder="0" applyAlignment="0" applyProtection="0"/>
    <xf numFmtId="0" fontId="64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39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1" borderId="0" applyNumberFormat="0" applyBorder="0" applyAlignment="0" applyProtection="0"/>
    <xf numFmtId="0" fontId="64" fillId="40" borderId="0" applyNumberFormat="0" applyBorder="0" applyAlignment="0" applyProtection="0"/>
    <xf numFmtId="0" fontId="64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40" borderId="0" applyNumberFormat="0" applyBorder="0" applyAlignment="0" applyProtection="0"/>
    <xf numFmtId="0" fontId="63" fillId="41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42" borderId="0" applyNumberFormat="0" applyBorder="0" applyAlignment="0" applyProtection="0"/>
    <xf numFmtId="0" fontId="64" fillId="33" borderId="0" applyNumberFormat="0" applyBorder="0" applyAlignment="0" applyProtection="0"/>
    <xf numFmtId="0" fontId="64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3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0" borderId="0" applyNumberFormat="0" applyBorder="0" applyAlignment="0" applyProtection="0"/>
    <xf numFmtId="0" fontId="64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35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24" borderId="0" applyNumberFormat="0" applyBorder="0" applyAlignment="0" applyProtection="0"/>
    <xf numFmtId="0" fontId="64" fillId="43" borderId="0" applyNumberFormat="0" applyBorder="0" applyAlignment="0" applyProtection="0"/>
    <xf numFmtId="0" fontId="64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0" fontId="63" fillId="43" borderId="0" applyNumberFormat="0" applyBorder="0" applyAlignment="0" applyProtection="0"/>
    <xf numFmtId="0" fontId="63" fillId="24" borderId="0" applyNumberFormat="0" applyBorder="0" applyAlignment="0" applyProtection="0"/>
    <xf numFmtId="165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210" fontId="60" fillId="0" borderId="0" applyFont="0" applyFill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6" fillId="16" borderId="0" applyNumberFormat="0" applyBorder="0" applyAlignment="0" applyProtection="0"/>
    <xf numFmtId="0" fontId="67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1" fillId="0" borderId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68" fillId="11" borderId="68" applyNumberFormat="0" applyAlignment="0" applyProtection="0"/>
    <xf numFmtId="0" fontId="69" fillId="22" borderId="68" applyNumberFormat="0" applyAlignment="0" applyProtection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68" fillId="22" borderId="68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22" borderId="69" applyNumberFormat="0" applyAlignment="0" applyProtection="0"/>
    <xf numFmtId="0" fontId="71" fillId="44" borderId="69" applyNumberFormat="0" applyAlignment="0" applyProtection="0"/>
    <xf numFmtId="0" fontId="71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0" fontId="70" fillId="44" borderId="69" applyNumberFormat="0" applyAlignment="0" applyProtection="0"/>
    <xf numFmtId="0" fontId="70" fillId="30" borderId="69" applyNumberFormat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2" fillId="0" borderId="0" applyFont="0" applyFill="0" applyBorder="0" applyAlignment="0" applyProtection="0"/>
    <xf numFmtId="211" fontId="11" fillId="0" borderId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211" fontId="11" fillId="0" borderId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211" fontId="11" fillId="0" borderId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211" fontId="11" fillId="0" borderId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41" fontId="11" fillId="0" borderId="0" applyFill="0" applyBorder="0" applyAlignment="0" applyProtection="0"/>
    <xf numFmtId="211" fontId="11" fillId="0" borderId="0" applyFill="0" applyBorder="0" applyAlignment="0" applyProtection="0"/>
    <xf numFmtId="41" fontId="11" fillId="0" borderId="0" applyFont="0" applyFill="0" applyBorder="0" applyAlignment="0" applyProtection="0"/>
    <xf numFmtId="167" fontId="42" fillId="0" borderId="0" applyFont="0" applyFill="0" applyBorder="0" applyAlignment="0" applyProtection="0"/>
    <xf numFmtId="170" fontId="42" fillId="0" borderId="0" applyFont="0" applyFill="0" applyBorder="0" applyAlignment="0" applyProtection="0"/>
    <xf numFmtId="174" fontId="42" fillId="0" borderId="0" applyFont="0" applyFill="0" applyBorder="0" applyAlignment="0" applyProtection="0"/>
    <xf numFmtId="41" fontId="8" fillId="0" borderId="0" applyFont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211" fontId="11" fillId="0" borderId="0" applyFill="0" applyBorder="0" applyAlignment="0" applyProtection="0"/>
    <xf numFmtId="41" fontId="11" fillId="0" borderId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211" fontId="11" fillId="0" borderId="0" applyFill="0" applyBorder="0" applyAlignment="0" applyProtection="0"/>
    <xf numFmtId="41" fontId="11" fillId="0" borderId="0" applyFont="0" applyFill="0" applyBorder="0" applyAlignment="0" applyProtection="0"/>
    <xf numFmtId="164" fontId="40" fillId="0" borderId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42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71" fontId="40" fillId="0" borderId="0" applyFill="0" applyBorder="0" applyAlignment="0" applyProtection="0"/>
    <xf numFmtId="171" fontId="40" fillId="0" borderId="0" applyFill="0" applyBorder="0" applyAlignment="0" applyProtection="0"/>
    <xf numFmtId="41" fontId="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11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86" fontId="40" fillId="0" borderId="0" applyFill="0" applyBorder="0" applyAlignment="0" applyProtection="0"/>
    <xf numFmtId="167" fontId="42" fillId="0" borderId="0" applyFont="0" applyFill="0" applyBorder="0" applyAlignment="0" applyProtection="0"/>
    <xf numFmtId="186" fontId="40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ill="0" applyBorder="0" applyAlignment="0" applyProtection="0"/>
    <xf numFmtId="186" fontId="11" fillId="0" borderId="0" applyFill="0" applyBorder="0" applyAlignment="0" applyProtection="0"/>
    <xf numFmtId="43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186" fontId="11" fillId="0" borderId="0" applyFill="0" applyBorder="0" applyAlignment="0" applyProtection="0"/>
    <xf numFmtId="186" fontId="40" fillId="0" borderId="0" applyFill="0" applyBorder="0" applyAlignment="0" applyProtection="0"/>
    <xf numFmtId="186" fontId="11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ill="0" applyBorder="0" applyAlignment="0" applyProtection="0"/>
    <xf numFmtId="186" fontId="11" fillId="0" borderId="0" applyFill="0" applyBorder="0" applyAlignment="0" applyProtection="0"/>
    <xf numFmtId="43" fontId="11" fillId="0" borderId="0" applyFill="0" applyBorder="0" applyAlignment="0" applyProtection="0"/>
    <xf numFmtId="186" fontId="11" fillId="0" borderId="0" applyFill="0" applyBorder="0" applyAlignment="0" applyProtection="0"/>
    <xf numFmtId="43" fontId="11" fillId="0" borderId="0" applyFill="0" applyBorder="0" applyAlignment="0" applyProtection="0"/>
    <xf numFmtId="186" fontId="11" fillId="0" borderId="0" applyFill="0" applyBorder="0" applyAlignment="0" applyProtection="0"/>
    <xf numFmtId="43" fontId="11" fillId="0" borderId="0" applyFill="0" applyBorder="0" applyAlignment="0" applyProtection="0"/>
    <xf numFmtId="186" fontId="11" fillId="0" borderId="0" applyFill="0" applyBorder="0" applyAlignment="0" applyProtection="0"/>
    <xf numFmtId="43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186" fontId="40" fillId="0" borderId="0" applyFill="0" applyBorder="0" applyAlignment="0" applyProtection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86" fontId="11" fillId="0" borderId="0" applyFill="0" applyBorder="0" applyAlignment="0" applyProtection="0"/>
    <xf numFmtId="186" fontId="40" fillId="0" borderId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169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86" fontId="11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212" fontId="11" fillId="0" borderId="7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5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4" fillId="14" borderId="0" applyNumberFormat="0" applyBorder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7" fillId="0" borderId="72" applyNumberFormat="0" applyFill="0" applyAlignment="0" applyProtection="0"/>
    <xf numFmtId="0" fontId="78" fillId="0" borderId="71" applyNumberFormat="0" applyFill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6" fillId="0" borderId="71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80" fillId="0" borderId="73" applyNumberFormat="0" applyFill="0" applyAlignment="0" applyProtection="0"/>
    <xf numFmtId="0" fontId="81" fillId="0" borderId="73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79" fillId="0" borderId="73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3" fillId="0" borderId="75" applyNumberFormat="0" applyFill="0" applyAlignment="0" applyProtection="0"/>
    <xf numFmtId="0" fontId="84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74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13" borderId="68" applyNumberFormat="0" applyAlignment="0" applyProtection="0"/>
    <xf numFmtId="0" fontId="86" fillId="20" borderId="68" applyNumberFormat="0" applyAlignment="0" applyProtection="0"/>
    <xf numFmtId="0" fontId="86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5" fillId="20" borderId="68" applyNumberFormat="0" applyAlignment="0" applyProtection="0"/>
    <xf numFmtId="0" fontId="85" fillId="13" borderId="68" applyNumberFormat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8" fillId="0" borderId="76" applyNumberFormat="0" applyFill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7" fillId="0" borderId="76" applyNumberFormat="0" applyFill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90" fillId="27" borderId="0" applyNumberFormat="0" applyBorder="0" applyAlignment="0" applyProtection="0"/>
    <xf numFmtId="0" fontId="91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" fillId="0" borderId="0"/>
    <xf numFmtId="0" fontId="8" fillId="0" borderId="0"/>
    <xf numFmtId="0" fontId="42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9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11" fillId="0" borderId="0">
      <alignment vertical="top"/>
    </xf>
    <xf numFmtId="0" fontId="11" fillId="0" borderId="0">
      <alignment vertical="top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11" fillId="15" borderId="77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11" borderId="78" applyNumberFormat="0" applyAlignment="0" applyProtection="0"/>
    <xf numFmtId="0" fontId="95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9" fontId="11" fillId="0" borderId="0" applyFill="0" applyBorder="0" applyAlignment="0" applyProtection="0"/>
    <xf numFmtId="9" fontId="11" fillId="0" borderId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6" fillId="0" borderId="79"/>
    <xf numFmtId="0" fontId="58" fillId="0" borderId="8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2" applyNumberFormat="0" applyFill="0" applyAlignment="0" applyProtection="0"/>
    <xf numFmtId="0" fontId="100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4" fillId="0" borderId="0"/>
    <xf numFmtId="169" fontId="1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11" borderId="97" applyNumberFormat="0" applyAlignment="0" applyProtection="0"/>
    <xf numFmtId="0" fontId="68" fillId="11" borderId="97" applyNumberFormat="0" applyAlignment="0" applyProtection="0"/>
    <xf numFmtId="0" fontId="69" fillId="22" borderId="97" applyNumberFormat="0" applyAlignment="0" applyProtection="0"/>
    <xf numFmtId="0" fontId="69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0" fontId="68" fillId="22" borderId="97" applyNumberFormat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1" fillId="0" borderId="0" applyFill="0" applyBorder="0" applyAlignment="0" applyProtection="0"/>
    <xf numFmtId="41" fontId="8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11" fillId="0" borderId="0" applyFill="0" applyBorder="0" applyAlignment="0" applyProtection="0"/>
    <xf numFmtId="41" fontId="11" fillId="0" borderId="0" applyFill="0" applyBorder="0" applyAlignment="0" applyProtection="0"/>
    <xf numFmtId="41" fontId="8" fillId="0" borderId="0" applyFont="0" applyFill="0" applyBorder="0" applyAlignment="0" applyProtection="0"/>
    <xf numFmtId="41" fontId="138" fillId="0" borderId="0" applyFont="0" applyFill="0" applyBorder="0" applyAlignment="0" applyProtection="0"/>
    <xf numFmtId="214" fontId="42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11" fontId="11" fillId="0" borderId="0" applyFill="0" applyBorder="0" applyAlignment="0" applyProtection="0"/>
    <xf numFmtId="41" fontId="11" fillId="0" borderId="0" applyFont="0" applyFill="0" applyBorder="0" applyAlignment="0" applyProtection="0"/>
    <xf numFmtId="174" fontId="40" fillId="0" borderId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11" fontId="40" fillId="0" borderId="0" applyFill="0" applyBorder="0" applyAlignment="0" applyProtection="0"/>
    <xf numFmtId="174" fontId="40" fillId="0" borderId="0" applyFill="0" applyBorder="0" applyAlignment="0" applyProtection="0"/>
    <xf numFmtId="41" fontId="11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8" fillId="0" borderId="0" applyFont="0" applyFill="0" applyBorder="0" applyAlignment="0" applyProtection="0"/>
    <xf numFmtId="215" fontId="42" fillId="0" borderId="0" applyFont="0" applyFill="0" applyBorder="0" applyAlignment="0" applyProtection="0"/>
    <xf numFmtId="215" fontId="42" fillId="0" borderId="0" applyFont="0" applyFill="0" applyBorder="0" applyAlignment="0" applyProtection="0"/>
    <xf numFmtId="215" fontId="4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6" fontId="40" fillId="0" borderId="0" applyFill="0" applyBorder="0" applyAlignment="0" applyProtection="0"/>
    <xf numFmtId="209" fontId="3" fillId="0" borderId="0" applyFont="0" applyFill="0" applyBorder="0" applyAlignment="0" applyProtection="0"/>
    <xf numFmtId="187" fontId="11" fillId="0" borderId="0" applyFill="0" applyBorder="0" applyAlignment="0" applyProtection="0"/>
    <xf numFmtId="43" fontId="8" fillId="0" borderId="0" applyFont="0" applyFill="0" applyBorder="0" applyAlignment="0" applyProtection="0"/>
    <xf numFmtId="41" fontId="4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4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ill="0" applyBorder="0" applyAlignment="0" applyProtection="0"/>
    <xf numFmtId="43" fontId="8" fillId="0" borderId="0" applyFont="0" applyFill="0" applyBorder="0" applyAlignment="0" applyProtection="0"/>
    <xf numFmtId="43" fontId="11" fillId="0" borderId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ill="0" applyBorder="0" applyAlignment="0" applyProtection="0"/>
    <xf numFmtId="212" fontId="11" fillId="0" borderId="83"/>
    <xf numFmtId="212" fontId="11" fillId="0" borderId="83"/>
    <xf numFmtId="0" fontId="30" fillId="0" borderId="87">
      <alignment horizontal="left" vertical="center"/>
    </xf>
    <xf numFmtId="0" fontId="30" fillId="0" borderId="87">
      <alignment horizontal="left" vertical="center"/>
    </xf>
    <xf numFmtId="0" fontId="46" fillId="0" borderId="60">
      <alignment horizontal="center"/>
    </xf>
    <xf numFmtId="10" fontId="36" fillId="4" borderId="83" applyNumberFormat="0" applyBorder="0" applyAlignment="0" applyProtection="0"/>
    <xf numFmtId="10" fontId="36" fillId="4" borderId="83" applyNumberFormat="0" applyBorder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6" fillId="13" borderId="97" applyNumberFormat="0" applyAlignment="0" applyProtection="0"/>
    <xf numFmtId="0" fontId="86" fillId="13" borderId="97" applyNumberFormat="0" applyAlignment="0" applyProtection="0"/>
    <xf numFmtId="0" fontId="86" fillId="20" borderId="97" applyNumberFormat="0" applyAlignment="0" applyProtection="0"/>
    <xf numFmtId="0" fontId="86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85" fillId="13" borderId="97" applyNumberFormat="0" applyAlignment="0" applyProtection="0"/>
    <xf numFmtId="0" fontId="85" fillId="13" borderId="97" applyNumberFormat="0" applyAlignment="0" applyProtection="0"/>
    <xf numFmtId="0" fontId="85" fillId="20" borderId="97" applyNumberFormat="0" applyAlignment="0" applyProtection="0"/>
    <xf numFmtId="0" fontId="85" fillId="20" borderId="97" applyNumberFormat="0" applyAlignment="0" applyProtection="0"/>
    <xf numFmtId="0" fontId="11" fillId="0" borderId="0"/>
    <xf numFmtId="0" fontId="8" fillId="0" borderId="0"/>
    <xf numFmtId="0" fontId="11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93" fillId="0" borderId="0">
      <alignment vertical="center"/>
    </xf>
    <xf numFmtId="0" fontId="8" fillId="0" borderId="0"/>
    <xf numFmtId="0" fontId="8" fillId="0" borderId="0"/>
    <xf numFmtId="0" fontId="8" fillId="0" borderId="0"/>
    <xf numFmtId="0" fontId="11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11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11" fillId="0" borderId="0"/>
    <xf numFmtId="0" fontId="42" fillId="0" borderId="0"/>
    <xf numFmtId="0" fontId="8" fillId="0" borderId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11" fillId="15" borderId="9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11" borderId="78" applyNumberFormat="0" applyAlignment="0" applyProtection="0"/>
    <xf numFmtId="0" fontId="94" fillId="11" borderId="78" applyNumberFormat="0" applyAlignment="0" applyProtection="0"/>
    <xf numFmtId="0" fontId="95" fillId="22" borderId="78" applyNumberFormat="0" applyAlignment="0" applyProtection="0"/>
    <xf numFmtId="0" fontId="95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0" fontId="94" fillId="22" borderId="78" applyNumberFormat="0" applyAlignment="0" applyProtection="0"/>
    <xf numFmtId="9" fontId="8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54" fillId="48" borderId="0">
      <alignment horizontal="center" vertical="center"/>
    </xf>
    <xf numFmtId="0" fontId="139" fillId="48" borderId="0">
      <alignment horizontal="left" vertical="center"/>
    </xf>
    <xf numFmtId="0" fontId="52" fillId="48" borderId="0">
      <alignment horizontal="left" vertical="top"/>
    </xf>
    <xf numFmtId="0" fontId="140" fillId="48" borderId="0">
      <alignment horizontal="left" vertical="center"/>
    </xf>
    <xf numFmtId="0" fontId="51" fillId="48" borderId="0">
      <alignment horizontal="right" vertical="center"/>
    </xf>
    <xf numFmtId="0" fontId="141" fillId="48" borderId="0">
      <alignment horizontal="right" vertical="center"/>
    </xf>
    <xf numFmtId="0" fontId="51" fillId="48" borderId="0">
      <alignment horizontal="left" vertical="center"/>
    </xf>
    <xf numFmtId="0" fontId="142" fillId="48" borderId="0">
      <alignment horizontal="right" vertical="center"/>
    </xf>
    <xf numFmtId="0" fontId="51" fillId="48" borderId="0">
      <alignment horizontal="left" vertical="center"/>
    </xf>
    <xf numFmtId="0" fontId="141" fillId="48" borderId="0">
      <alignment horizontal="right" vertical="center"/>
    </xf>
    <xf numFmtId="0" fontId="52" fillId="48" borderId="0">
      <alignment horizontal="center" vertical="center"/>
    </xf>
    <xf numFmtId="0" fontId="140" fillId="48" borderId="0">
      <alignment horizontal="left" vertical="center"/>
    </xf>
    <xf numFmtId="0" fontId="143" fillId="48" borderId="0">
      <alignment horizontal="right" vertical="center"/>
    </xf>
    <xf numFmtId="0" fontId="143" fillId="48" borderId="0">
      <alignment horizontal="right" vertical="center"/>
    </xf>
    <xf numFmtId="0" fontId="143" fillId="48" borderId="0">
      <alignment horizontal="right" vertical="center"/>
    </xf>
    <xf numFmtId="0" fontId="144" fillId="48" borderId="0">
      <alignment horizontal="right" vertical="center"/>
    </xf>
    <xf numFmtId="0" fontId="145" fillId="48" borderId="0">
      <alignment horizontal="right" vertical="center"/>
    </xf>
    <xf numFmtId="0" fontId="145" fillId="48" borderId="0">
      <alignment horizontal="right" vertical="center"/>
    </xf>
    <xf numFmtId="0" fontId="145" fillId="48" borderId="0">
      <alignment horizontal="right" vertical="center"/>
    </xf>
    <xf numFmtId="0" fontId="146" fillId="48" borderId="0">
      <alignment horizontal="left" vertical="center"/>
    </xf>
    <xf numFmtId="0" fontId="52" fillId="48" borderId="0">
      <alignment horizontal="left" vertical="center"/>
    </xf>
    <xf numFmtId="0" fontId="140" fillId="48" borderId="0">
      <alignment horizontal="right" vertical="center"/>
    </xf>
    <xf numFmtId="0" fontId="147" fillId="48" borderId="0">
      <alignment horizontal="right" vertical="center"/>
    </xf>
    <xf numFmtId="0" fontId="142" fillId="48" borderId="0">
      <alignment horizontal="right" vertical="center"/>
    </xf>
    <xf numFmtId="0" fontId="148" fillId="48" borderId="0">
      <alignment horizontal="right" vertical="center"/>
    </xf>
    <xf numFmtId="0" fontId="149" fillId="48" borderId="0">
      <alignment horizontal="center" vertical="center"/>
    </xf>
    <xf numFmtId="0" fontId="150" fillId="48" borderId="0">
      <alignment horizontal="right" vertical="center"/>
    </xf>
    <xf numFmtId="0" fontId="150" fillId="48" borderId="0">
      <alignment horizontal="right" vertical="center"/>
    </xf>
    <xf numFmtId="0" fontId="150" fillId="48" borderId="0">
      <alignment horizontal="right" vertical="center"/>
    </xf>
    <xf numFmtId="0" fontId="149" fillId="48" borderId="0">
      <alignment horizontal="left" vertical="center"/>
    </xf>
    <xf numFmtId="0" fontId="151" fillId="48" borderId="0">
      <alignment horizontal="right" vertical="center"/>
    </xf>
    <xf numFmtId="0" fontId="152" fillId="48" borderId="0">
      <alignment horizontal="right" vertical="center"/>
    </xf>
    <xf numFmtId="0" fontId="49" fillId="48" borderId="0">
      <alignment horizontal="center" vertical="center"/>
    </xf>
    <xf numFmtId="0" fontId="140" fillId="48" borderId="0">
      <alignment horizontal="right" vertical="center"/>
    </xf>
    <xf numFmtId="0" fontId="152" fillId="48" borderId="0">
      <alignment horizontal="left" vertical="center"/>
    </xf>
    <xf numFmtId="0" fontId="152" fillId="48" borderId="0">
      <alignment horizontal="left" vertical="top"/>
    </xf>
    <xf numFmtId="0" fontId="152" fillId="48" borderId="0">
      <alignment horizontal="left" vertical="top"/>
    </xf>
    <xf numFmtId="0" fontId="142" fillId="48" borderId="0">
      <alignment horizontal="right" vertical="center"/>
    </xf>
    <xf numFmtId="0" fontId="49" fillId="48" borderId="0">
      <alignment horizontal="left" vertical="center"/>
    </xf>
    <xf numFmtId="0" fontId="153" fillId="48" borderId="0">
      <alignment horizontal="right" vertical="center"/>
    </xf>
    <xf numFmtId="0" fontId="49" fillId="48" borderId="0">
      <alignment horizontal="center" vertical="center"/>
    </xf>
    <xf numFmtId="0" fontId="154" fillId="48" borderId="0">
      <alignment horizontal="left" vertical="center"/>
    </xf>
    <xf numFmtId="0" fontId="49" fillId="48" borderId="0">
      <alignment horizontal="left" vertical="center"/>
    </xf>
    <xf numFmtId="0" fontId="140" fillId="48" borderId="0">
      <alignment horizontal="center" vertical="center"/>
    </xf>
    <xf numFmtId="0" fontId="155" fillId="48" borderId="0">
      <alignment horizontal="center" vertical="top"/>
    </xf>
    <xf numFmtId="0" fontId="156" fillId="48" borderId="0">
      <alignment horizontal="center" vertical="center"/>
    </xf>
    <xf numFmtId="0" fontId="52" fillId="48" borderId="0">
      <alignment horizontal="center" vertical="center"/>
    </xf>
    <xf numFmtId="0" fontId="141" fillId="48" borderId="0">
      <alignment horizontal="right" vertical="center"/>
    </xf>
    <xf numFmtId="0" fontId="96" fillId="0" borderId="79"/>
    <xf numFmtId="0" fontId="96" fillId="0" borderId="79"/>
    <xf numFmtId="0" fontId="47" fillId="1" borderId="99" applyNumberFormat="0" applyFont="0" applyAlignment="0">
      <alignment horizontal="center"/>
    </xf>
    <xf numFmtId="0" fontId="47" fillId="1" borderId="99" applyNumberFormat="0" applyFont="0" applyAlignment="0">
      <alignment horizontal="center"/>
    </xf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2" applyNumberFormat="0" applyFill="0" applyAlignment="0" applyProtection="0"/>
    <xf numFmtId="0" fontId="99" fillId="0" borderId="82" applyNumberFormat="0" applyFill="0" applyAlignment="0" applyProtection="0"/>
    <xf numFmtId="0" fontId="100" fillId="0" borderId="81" applyNumberFormat="0" applyFill="0" applyAlignment="0" applyProtection="0"/>
    <xf numFmtId="0" fontId="100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  <xf numFmtId="0" fontId="99" fillId="0" borderId="81" applyNumberFormat="0" applyFill="0" applyAlignment="0" applyProtection="0"/>
  </cellStyleXfs>
  <cellXfs count="684">
    <xf numFmtId="0" fontId="0" fillId="0" borderId="0" xfId="0"/>
    <xf numFmtId="0" fontId="15" fillId="0" borderId="0" xfId="7" applyFont="1" applyFill="1" applyAlignment="1">
      <alignment vertical="center"/>
    </xf>
    <xf numFmtId="0" fontId="18" fillId="0" borderId="0" xfId="7" applyFont="1" applyFill="1" applyAlignment="1">
      <alignment vertical="center"/>
    </xf>
    <xf numFmtId="0" fontId="14" fillId="0" borderId="0" xfId="7" applyFont="1" applyFill="1" applyAlignment="1">
      <alignment vertical="center"/>
    </xf>
    <xf numFmtId="0" fontId="13" fillId="0" borderId="0" xfId="7" applyFont="1" applyFill="1" applyAlignment="1">
      <alignment vertical="center"/>
    </xf>
    <xf numFmtId="0" fontId="22" fillId="0" borderId="0" xfId="7" applyFont="1" applyFill="1" applyAlignment="1">
      <alignment horizontal="center" vertical="center"/>
    </xf>
    <xf numFmtId="0" fontId="22" fillId="0" borderId="0" xfId="7" applyFont="1" applyFill="1" applyAlignment="1">
      <alignment horizontal="left" vertical="center"/>
    </xf>
    <xf numFmtId="0" fontId="22" fillId="0" borderId="57" xfId="7" applyFont="1" applyFill="1" applyBorder="1" applyAlignment="1">
      <alignment horizontal="center" vertical="center"/>
    </xf>
    <xf numFmtId="0" fontId="22" fillId="0" borderId="64" xfId="7" applyFont="1" applyFill="1" applyBorder="1" applyAlignment="1">
      <alignment horizontal="center" vertical="center"/>
    </xf>
    <xf numFmtId="49" fontId="23" fillId="0" borderId="32" xfId="5" applyNumberFormat="1" applyFont="1" applyFill="1" applyBorder="1" applyAlignment="1">
      <alignment horizontal="center" vertical="center" wrapText="1"/>
    </xf>
    <xf numFmtId="41" fontId="23" fillId="0" borderId="26" xfId="27" applyFont="1" applyFill="1" applyBorder="1" applyAlignment="1">
      <alignment horizontal="center" vertical="center"/>
    </xf>
    <xf numFmtId="41" fontId="23" fillId="0" borderId="61" xfId="27" applyFont="1" applyFill="1" applyBorder="1" applyAlignment="1">
      <alignment horizontal="center" vertical="center"/>
    </xf>
    <xf numFmtId="41" fontId="23" fillId="0" borderId="6" xfId="27" applyFont="1" applyFill="1" applyBorder="1" applyAlignment="1">
      <alignment horizontal="center" vertical="center"/>
    </xf>
    <xf numFmtId="41" fontId="23" fillId="0" borderId="33" xfId="27" applyFont="1" applyFill="1" applyBorder="1" applyAlignment="1">
      <alignment horizontal="center" vertical="center"/>
    </xf>
    <xf numFmtId="0" fontId="23" fillId="0" borderId="0" xfId="7" applyFont="1" applyFill="1" applyAlignment="1">
      <alignment horizontal="center" vertical="center"/>
    </xf>
    <xf numFmtId="49" fontId="23" fillId="0" borderId="27" xfId="5" applyNumberFormat="1" applyFont="1" applyFill="1" applyBorder="1" applyAlignment="1">
      <alignment horizontal="center" vertical="center" wrapText="1"/>
    </xf>
    <xf numFmtId="41" fontId="23" fillId="0" borderId="21" xfId="27" applyFont="1" applyFill="1" applyBorder="1" applyAlignment="1">
      <alignment horizontal="center" vertical="center"/>
    </xf>
    <xf numFmtId="41" fontId="23" fillId="0" borderId="14" xfId="27" applyFont="1" applyFill="1" applyBorder="1" applyAlignment="1">
      <alignment horizontal="center" vertical="center"/>
    </xf>
    <xf numFmtId="41" fontId="23" fillId="0" borderId="36" xfId="27" applyFont="1" applyFill="1" applyBorder="1" applyAlignment="1">
      <alignment horizontal="center" vertical="center"/>
    </xf>
    <xf numFmtId="0" fontId="23" fillId="0" borderId="15" xfId="7" applyFont="1" applyFill="1" applyBorder="1" applyAlignment="1">
      <alignment horizontal="center" vertical="center"/>
    </xf>
    <xf numFmtId="41" fontId="24" fillId="0" borderId="28" xfId="27" applyFont="1" applyFill="1" applyBorder="1" applyAlignment="1">
      <alignment horizontal="center" vertical="center"/>
    </xf>
    <xf numFmtId="41" fontId="24" fillId="0" borderId="35" xfId="27" applyFont="1" applyFill="1" applyBorder="1" applyAlignment="1">
      <alignment horizontal="center" vertical="center"/>
    </xf>
    <xf numFmtId="41" fontId="24" fillId="0" borderId="30" xfId="27" applyFont="1" applyFill="1" applyBorder="1" applyAlignment="1">
      <alignment horizontal="center" vertical="center"/>
    </xf>
    <xf numFmtId="41" fontId="24" fillId="0" borderId="49" xfId="27" applyFont="1" applyFill="1" applyBorder="1" applyAlignment="1">
      <alignment horizontal="center" vertical="center"/>
    </xf>
    <xf numFmtId="41" fontId="24" fillId="0" borderId="59" xfId="27" applyFont="1" applyFill="1" applyBorder="1" applyAlignment="1">
      <alignment horizontal="center" vertical="center"/>
    </xf>
    <xf numFmtId="41" fontId="24" fillId="0" borderId="29" xfId="27" applyFont="1" applyFill="1" applyBorder="1" applyAlignment="1">
      <alignment horizontal="center" vertical="center"/>
    </xf>
    <xf numFmtId="41" fontId="24" fillId="0" borderId="0" xfId="27" applyFont="1" applyFill="1" applyAlignment="1">
      <alignment horizontal="center" vertical="center"/>
    </xf>
    <xf numFmtId="0" fontId="23" fillId="0" borderId="40" xfId="7" applyFont="1" applyFill="1" applyBorder="1" applyAlignment="1">
      <alignment horizontal="center" vertical="center"/>
    </xf>
    <xf numFmtId="41" fontId="23" fillId="0" borderId="62" xfId="27" applyFont="1" applyFill="1" applyBorder="1" applyAlignment="1">
      <alignment horizontal="center" vertical="center"/>
    </xf>
    <xf numFmtId="0" fontId="23" fillId="0" borderId="21" xfId="7" applyFont="1" applyFill="1" applyBorder="1" applyAlignment="1">
      <alignment horizontal="center" vertical="center"/>
    </xf>
    <xf numFmtId="49" fontId="23" fillId="0" borderId="48" xfId="5" applyNumberFormat="1" applyFont="1" applyFill="1" applyBorder="1" applyAlignment="1">
      <alignment horizontal="center" vertical="center" wrapText="1"/>
    </xf>
    <xf numFmtId="0" fontId="23" fillId="0" borderId="16" xfId="7" applyFont="1" applyFill="1" applyBorder="1" applyAlignment="1">
      <alignment horizontal="center" vertical="center"/>
    </xf>
    <xf numFmtId="41" fontId="23" fillId="0" borderId="16" xfId="27" applyFont="1" applyFill="1" applyBorder="1" applyAlignment="1">
      <alignment horizontal="center" vertical="center"/>
    </xf>
    <xf numFmtId="41" fontId="23" fillId="0" borderId="65" xfId="27" applyFont="1" applyFill="1" applyBorder="1" applyAlignment="1">
      <alignment horizontal="center" vertical="center"/>
    </xf>
    <xf numFmtId="49" fontId="24" fillId="0" borderId="28" xfId="5" applyNumberFormat="1" applyFont="1" applyFill="1" applyBorder="1" applyAlignment="1">
      <alignment horizontal="center" vertical="center" wrapText="1"/>
    </xf>
    <xf numFmtId="0" fontId="24" fillId="0" borderId="30" xfId="7" applyFont="1" applyFill="1" applyBorder="1" applyAlignment="1">
      <alignment horizontal="center" vertical="center"/>
    </xf>
    <xf numFmtId="0" fontId="24" fillId="0" borderId="59" xfId="7" applyFont="1" applyFill="1" applyBorder="1" applyAlignment="1">
      <alignment horizontal="center" vertical="center"/>
    </xf>
    <xf numFmtId="0" fontId="24" fillId="0" borderId="0" xfId="7" applyFont="1" applyFill="1" applyAlignment="1">
      <alignment horizontal="center" vertical="center"/>
    </xf>
    <xf numFmtId="49" fontId="23" fillId="0" borderId="0" xfId="5" applyNumberFormat="1" applyFont="1" applyFill="1" applyBorder="1" applyAlignment="1">
      <alignment horizontal="center" vertical="center" wrapText="1"/>
    </xf>
    <xf numFmtId="170" fontId="23" fillId="0" borderId="26" xfId="12" applyNumberFormat="1" applyFont="1" applyFill="1" applyBorder="1" applyAlignment="1">
      <alignment horizontal="left" vertical="center" wrapText="1"/>
    </xf>
    <xf numFmtId="170" fontId="23" fillId="0" borderId="21" xfId="12" applyNumberFormat="1" applyFont="1" applyFill="1" applyBorder="1" applyAlignment="1">
      <alignment horizontal="left" vertical="center" wrapText="1"/>
    </xf>
    <xf numFmtId="170" fontId="23" fillId="0" borderId="21" xfId="12" applyNumberFormat="1" applyFont="1" applyFill="1" applyBorder="1" applyAlignment="1">
      <alignment horizontal="left" vertical="center"/>
    </xf>
    <xf numFmtId="0" fontId="22" fillId="3" borderId="25" xfId="7" applyFont="1" applyFill="1" applyBorder="1" applyAlignment="1">
      <alignment horizontal="center" vertical="center"/>
    </xf>
    <xf numFmtId="41" fontId="23" fillId="3" borderId="26" xfId="27" applyFont="1" applyFill="1" applyBorder="1" applyAlignment="1">
      <alignment horizontal="center" vertical="center"/>
    </xf>
    <xf numFmtId="41" fontId="23" fillId="3" borderId="21" xfId="27" applyFont="1" applyFill="1" applyBorder="1" applyAlignment="1">
      <alignment horizontal="center" vertical="center"/>
    </xf>
    <xf numFmtId="41" fontId="24" fillId="3" borderId="30" xfId="27" applyFont="1" applyFill="1" applyBorder="1" applyAlignment="1">
      <alignment horizontal="center" vertical="center"/>
    </xf>
    <xf numFmtId="41" fontId="23" fillId="3" borderId="16" xfId="27" applyFont="1" applyFill="1" applyBorder="1" applyAlignment="1">
      <alignment horizontal="center" vertical="center"/>
    </xf>
    <xf numFmtId="0" fontId="24" fillId="3" borderId="30" xfId="7" applyFont="1" applyFill="1" applyBorder="1" applyAlignment="1">
      <alignment horizontal="center" vertical="center"/>
    </xf>
    <xf numFmtId="0" fontId="23" fillId="3" borderId="0" xfId="7" applyFont="1" applyFill="1" applyAlignment="1">
      <alignment horizontal="center" vertical="center"/>
    </xf>
    <xf numFmtId="0" fontId="28" fillId="0" borderId="0" xfId="7" applyFont="1" applyFill="1" applyAlignment="1">
      <alignment vertical="center"/>
    </xf>
    <xf numFmtId="172" fontId="28" fillId="0" borderId="0" xfId="7" applyNumberFormat="1" applyFont="1" applyFill="1" applyAlignment="1">
      <alignment vertical="center"/>
    </xf>
    <xf numFmtId="2" fontId="28" fillId="0" borderId="0" xfId="7" applyNumberFormat="1" applyFont="1" applyFill="1" applyAlignment="1">
      <alignment vertical="center"/>
    </xf>
    <xf numFmtId="175" fontId="28" fillId="0" borderId="0" xfId="7" applyNumberFormat="1" applyFont="1" applyFill="1" applyAlignment="1">
      <alignment vertical="center"/>
    </xf>
    <xf numFmtId="1" fontId="28" fillId="0" borderId="0" xfId="7" applyNumberFormat="1" applyFont="1" applyFill="1" applyAlignment="1">
      <alignment vertical="center"/>
    </xf>
    <xf numFmtId="173" fontId="28" fillId="0" borderId="0" xfId="7" applyNumberFormat="1" applyFont="1" applyFill="1" applyAlignment="1">
      <alignment vertical="center"/>
    </xf>
    <xf numFmtId="173" fontId="28" fillId="2" borderId="0" xfId="7" applyNumberFormat="1" applyFont="1" applyFill="1" applyAlignment="1">
      <alignment vertical="center"/>
    </xf>
    <xf numFmtId="0" fontId="19" fillId="0" borderId="5" xfId="7" applyFont="1" applyFill="1" applyBorder="1" applyAlignment="1">
      <alignment vertical="center"/>
    </xf>
    <xf numFmtId="0" fontId="28" fillId="0" borderId="5" xfId="7" applyFont="1" applyFill="1" applyBorder="1" applyAlignment="1">
      <alignment vertical="center"/>
    </xf>
    <xf numFmtId="41" fontId="19" fillId="0" borderId="5" xfId="7" applyNumberFormat="1" applyFont="1" applyFill="1" applyBorder="1" applyAlignment="1">
      <alignment vertical="center"/>
    </xf>
    <xf numFmtId="171" fontId="19" fillId="0" borderId="5" xfId="7" applyNumberFormat="1" applyFont="1" applyFill="1" applyBorder="1" applyAlignment="1">
      <alignment vertical="center"/>
    </xf>
    <xf numFmtId="41" fontId="19" fillId="0" borderId="6" xfId="7" applyNumberFormat="1" applyFont="1" applyFill="1" applyBorder="1" applyAlignment="1">
      <alignment vertical="center"/>
    </xf>
    <xf numFmtId="41" fontId="19" fillId="0" borderId="15" xfId="7" applyNumberFormat="1" applyFont="1" applyFill="1" applyBorder="1" applyAlignment="1">
      <alignment horizontal="center" vertical="center" wrapText="1"/>
    </xf>
    <xf numFmtId="0" fontId="20" fillId="0" borderId="0" xfId="7" applyFont="1" applyFill="1" applyAlignment="1">
      <alignment vertical="center"/>
    </xf>
    <xf numFmtId="0" fontId="105" fillId="0" borderId="0" xfId="7" applyFont="1" applyFill="1" applyAlignment="1">
      <alignment vertical="center"/>
    </xf>
    <xf numFmtId="0" fontId="106" fillId="0" borderId="0" xfId="7" applyFont="1" applyFill="1" applyAlignment="1">
      <alignment horizontal="center" vertical="center" wrapText="1"/>
    </xf>
    <xf numFmtId="0" fontId="26" fillId="0" borderId="0" xfId="7" applyFont="1" applyFill="1" applyAlignment="1">
      <alignment horizontal="center" vertical="center" wrapText="1"/>
    </xf>
    <xf numFmtId="0" fontId="26" fillId="0" borderId="0" xfId="7" applyFont="1" applyFill="1" applyAlignment="1">
      <alignment vertical="center"/>
    </xf>
    <xf numFmtId="0" fontId="26" fillId="0" borderId="0" xfId="7" applyFont="1" applyFill="1" applyAlignment="1">
      <alignment horizontal="center" vertical="center"/>
    </xf>
    <xf numFmtId="0" fontId="25" fillId="0" borderId="0" xfId="7" applyFont="1" applyFill="1" applyAlignment="1">
      <alignment vertical="center"/>
    </xf>
    <xf numFmtId="172" fontId="20" fillId="0" borderId="0" xfId="7" applyNumberFormat="1" applyFont="1" applyFill="1" applyAlignment="1">
      <alignment vertical="center"/>
    </xf>
    <xf numFmtId="171" fontId="25" fillId="0" borderId="0" xfId="7" applyNumberFormat="1" applyFont="1" applyFill="1" applyAlignment="1">
      <alignment vertical="center"/>
    </xf>
    <xf numFmtId="0" fontId="107" fillId="0" borderId="2" xfId="7" applyFont="1" applyFill="1" applyBorder="1" applyAlignment="1">
      <alignment horizontal="center" vertical="center" wrapText="1"/>
    </xf>
    <xf numFmtId="0" fontId="107" fillId="0" borderId="0" xfId="7" applyFont="1" applyFill="1" applyAlignment="1">
      <alignment vertical="center"/>
    </xf>
    <xf numFmtId="0" fontId="107" fillId="0" borderId="16" xfId="7" applyFont="1" applyFill="1" applyBorder="1" applyAlignment="1">
      <alignment horizontal="center" vertical="center" wrapText="1"/>
    </xf>
    <xf numFmtId="0" fontId="107" fillId="0" borderId="25" xfId="7" applyFont="1" applyFill="1" applyBorder="1" applyAlignment="1">
      <alignment horizontal="center" vertical="center" wrapText="1"/>
    </xf>
    <xf numFmtId="9" fontId="107" fillId="0" borderId="23" xfId="7" applyNumberFormat="1" applyFont="1" applyFill="1" applyBorder="1" applyAlignment="1">
      <alignment horizontal="center" vertical="center" wrapText="1"/>
    </xf>
    <xf numFmtId="0" fontId="20" fillId="0" borderId="26" xfId="7" applyFont="1" applyFill="1" applyBorder="1" applyAlignment="1">
      <alignment horizontal="center" vertical="center"/>
    </xf>
    <xf numFmtId="171" fontId="108" fillId="0" borderId="26" xfId="5" applyNumberFormat="1" applyFont="1" applyFill="1" applyBorder="1" applyAlignment="1">
      <alignment horizontal="center" vertical="center" wrapText="1"/>
    </xf>
    <xf numFmtId="41" fontId="20" fillId="0" borderId="26" xfId="7" applyNumberFormat="1" applyFont="1" applyFill="1" applyBorder="1" applyAlignment="1">
      <alignment horizontal="right" vertical="center"/>
    </xf>
    <xf numFmtId="41" fontId="20" fillId="0" borderId="26" xfId="7" applyNumberFormat="1" applyFont="1" applyFill="1" applyBorder="1" applyAlignment="1">
      <alignment horizontal="center" vertical="center"/>
    </xf>
    <xf numFmtId="173" fontId="20" fillId="0" borderId="26" xfId="5" applyNumberFormat="1" applyFont="1" applyFill="1" applyBorder="1" applyAlignment="1">
      <alignment horizontal="right" vertical="center"/>
    </xf>
    <xf numFmtId="41" fontId="108" fillId="0" borderId="2" xfId="5" applyNumberFormat="1" applyFont="1" applyFill="1" applyBorder="1" applyAlignment="1">
      <alignment horizontal="center" vertical="center" wrapText="1"/>
    </xf>
    <xf numFmtId="41" fontId="108" fillId="0" borderId="26" xfId="5" applyNumberFormat="1" applyFont="1" applyFill="1" applyBorder="1" applyAlignment="1">
      <alignment horizontal="center" vertical="center" wrapText="1"/>
    </xf>
    <xf numFmtId="172" fontId="20" fillId="0" borderId="26" xfId="7" applyNumberFormat="1" applyFont="1" applyFill="1" applyBorder="1" applyAlignment="1">
      <alignment vertical="center"/>
    </xf>
    <xf numFmtId="41" fontId="20" fillId="0" borderId="26" xfId="7" applyNumberFormat="1" applyFont="1" applyFill="1" applyBorder="1" applyAlignment="1">
      <alignment vertical="center"/>
    </xf>
    <xf numFmtId="171" fontId="20" fillId="0" borderId="26" xfId="5" applyNumberFormat="1" applyFont="1" applyFill="1" applyBorder="1" applyAlignment="1">
      <alignment horizontal="center" vertical="center" wrapText="1"/>
    </xf>
    <xf numFmtId="41" fontId="25" fillId="0" borderId="33" xfId="7" applyNumberFormat="1" applyFont="1" applyFill="1" applyBorder="1" applyAlignment="1">
      <alignment vertical="center"/>
    </xf>
    <xf numFmtId="0" fontId="20" fillId="0" borderId="0" xfId="7" applyFont="1" applyFill="1" applyBorder="1" applyAlignment="1">
      <alignment vertical="center"/>
    </xf>
    <xf numFmtId="0" fontId="20" fillId="0" borderId="54" xfId="7" applyFont="1" applyFill="1" applyBorder="1" applyAlignment="1">
      <alignment horizontal="center" vertical="center"/>
    </xf>
    <xf numFmtId="171" fontId="108" fillId="0" borderId="54" xfId="5" applyNumberFormat="1" applyFont="1" applyFill="1" applyBorder="1" applyAlignment="1">
      <alignment horizontal="center" vertical="center"/>
    </xf>
    <xf numFmtId="41" fontId="20" fillId="0" borderId="54" xfId="7" applyNumberFormat="1" applyFont="1" applyFill="1" applyBorder="1" applyAlignment="1">
      <alignment horizontal="right" vertical="center"/>
    </xf>
    <xf numFmtId="171" fontId="108" fillId="0" borderId="54" xfId="5" applyNumberFormat="1" applyFont="1" applyFill="1" applyBorder="1" applyAlignment="1">
      <alignment horizontal="center" vertical="center" wrapText="1"/>
    </xf>
    <xf numFmtId="41" fontId="20" fillId="0" borderId="54" xfId="7" applyNumberFormat="1" applyFont="1" applyFill="1" applyBorder="1" applyAlignment="1">
      <alignment horizontal="center" vertical="center"/>
    </xf>
    <xf numFmtId="41" fontId="20" fillId="0" borderId="23" xfId="7" applyNumberFormat="1" applyFont="1" applyFill="1" applyBorder="1" applyAlignment="1">
      <alignment horizontal="center" vertical="center"/>
    </xf>
    <xf numFmtId="41" fontId="108" fillId="0" borderId="25" xfId="5" applyNumberFormat="1" applyFont="1" applyFill="1" applyBorder="1" applyAlignment="1">
      <alignment horizontal="center" vertical="center" wrapText="1"/>
    </xf>
    <xf numFmtId="41" fontId="108" fillId="0" borderId="54" xfId="5" applyNumberFormat="1" applyFont="1" applyFill="1" applyBorder="1" applyAlignment="1">
      <alignment horizontal="center" vertical="center" wrapText="1"/>
    </xf>
    <xf numFmtId="172" fontId="20" fillId="0" borderId="54" xfId="7" applyNumberFormat="1" applyFont="1" applyFill="1" applyBorder="1" applyAlignment="1">
      <alignment vertical="center"/>
    </xf>
    <xf numFmtId="41" fontId="20" fillId="0" borderId="54" xfId="7" applyNumberFormat="1" applyFont="1" applyFill="1" applyBorder="1" applyAlignment="1">
      <alignment vertical="center"/>
    </xf>
    <xf numFmtId="41" fontId="20" fillId="0" borderId="25" xfId="7" applyNumberFormat="1" applyFont="1" applyFill="1" applyBorder="1" applyAlignment="1">
      <alignment vertical="center"/>
    </xf>
    <xf numFmtId="171" fontId="20" fillId="0" borderId="54" xfId="5" applyNumberFormat="1" applyFont="1" applyFill="1" applyBorder="1" applyAlignment="1">
      <alignment horizontal="center" vertical="center" wrapText="1"/>
    </xf>
    <xf numFmtId="41" fontId="25" fillId="0" borderId="55" xfId="7" applyNumberFormat="1" applyFont="1" applyFill="1" applyBorder="1" applyAlignment="1">
      <alignment vertical="center"/>
    </xf>
    <xf numFmtId="41" fontId="20" fillId="0" borderId="0" xfId="7" applyNumberFormat="1" applyFont="1" applyFill="1" applyAlignment="1">
      <alignment vertical="center"/>
    </xf>
    <xf numFmtId="41" fontId="109" fillId="0" borderId="28" xfId="7" applyNumberFormat="1" applyFont="1" applyFill="1" applyBorder="1" applyAlignment="1">
      <alignment horizontal="center" vertical="center"/>
    </xf>
    <xf numFmtId="41" fontId="109" fillId="0" borderId="30" xfId="7" applyNumberFormat="1" applyFont="1" applyFill="1" applyBorder="1" applyAlignment="1">
      <alignment horizontal="center" vertical="center" wrapText="1"/>
    </xf>
    <xf numFmtId="171" fontId="109" fillId="0" borderId="30" xfId="5" applyNumberFormat="1" applyFont="1" applyFill="1" applyBorder="1" applyAlignment="1">
      <alignment horizontal="center" vertical="center"/>
    </xf>
    <xf numFmtId="171" fontId="109" fillId="0" borderId="35" xfId="5" applyNumberFormat="1" applyFont="1" applyFill="1" applyBorder="1" applyAlignment="1">
      <alignment horizontal="center" vertical="center"/>
    </xf>
    <xf numFmtId="41" fontId="109" fillId="0" borderId="0" xfId="7" applyNumberFormat="1" applyFont="1" applyFill="1" applyBorder="1" applyAlignment="1">
      <alignment horizontal="center" vertical="center"/>
    </xf>
    <xf numFmtId="41" fontId="109" fillId="0" borderId="0" xfId="7" applyNumberFormat="1" applyFont="1" applyFill="1" applyAlignment="1">
      <alignment horizontal="center" vertical="center"/>
    </xf>
    <xf numFmtId="0" fontId="20" fillId="0" borderId="44" xfId="7" applyFont="1" applyFill="1" applyBorder="1" applyAlignment="1">
      <alignment vertical="center"/>
    </xf>
    <xf numFmtId="0" fontId="20" fillId="0" borderId="5" xfId="7" applyFont="1" applyFill="1" applyBorder="1" applyAlignment="1">
      <alignment horizontal="center" vertical="center"/>
    </xf>
    <xf numFmtId="0" fontId="25" fillId="0" borderId="5" xfId="7" applyFont="1" applyFill="1" applyBorder="1" applyAlignment="1">
      <alignment vertical="center"/>
    </xf>
    <xf numFmtId="41" fontId="25" fillId="0" borderId="46" xfId="7" applyNumberFormat="1" applyFont="1" applyFill="1" applyBorder="1" applyAlignment="1">
      <alignment vertical="center"/>
    </xf>
    <xf numFmtId="3" fontId="25" fillId="0" borderId="0" xfId="7" applyNumberFormat="1" applyFont="1" applyFill="1" applyBorder="1" applyAlignment="1">
      <alignment vertical="center"/>
    </xf>
    <xf numFmtId="0" fontId="20" fillId="0" borderId="45" xfId="7" applyFont="1" applyFill="1" applyBorder="1" applyAlignment="1">
      <alignment vertical="center"/>
    </xf>
    <xf numFmtId="0" fontId="20" fillId="0" borderId="15" xfId="7" applyFont="1" applyFill="1" applyBorder="1" applyAlignment="1">
      <alignment horizontal="center" vertical="center"/>
    </xf>
    <xf numFmtId="0" fontId="25" fillId="0" borderId="15" xfId="7" applyFont="1" applyFill="1" applyBorder="1" applyAlignment="1">
      <alignment horizontal="center" vertical="center" wrapText="1"/>
    </xf>
    <xf numFmtId="41" fontId="25" fillId="0" borderId="36" xfId="3" applyNumberFormat="1" applyFont="1" applyFill="1" applyBorder="1" applyAlignment="1">
      <alignment vertical="center"/>
    </xf>
    <xf numFmtId="0" fontId="25" fillId="0" borderId="15" xfId="7" applyFont="1" applyFill="1" applyBorder="1" applyAlignment="1">
      <alignment vertical="center"/>
    </xf>
    <xf numFmtId="43" fontId="25" fillId="0" borderId="15" xfId="7" applyNumberFormat="1" applyFont="1" applyFill="1" applyBorder="1" applyAlignment="1">
      <alignment vertical="center"/>
    </xf>
    <xf numFmtId="0" fontId="20" fillId="0" borderId="15" xfId="7" applyFont="1" applyFill="1" applyBorder="1" applyAlignment="1">
      <alignment vertical="center"/>
    </xf>
    <xf numFmtId="41" fontId="25" fillId="0" borderId="15" xfId="7" applyNumberFormat="1" applyFont="1" applyFill="1" applyBorder="1" applyAlignment="1">
      <alignment vertical="center"/>
    </xf>
    <xf numFmtId="41" fontId="25" fillId="0" borderId="15" xfId="3" applyNumberFormat="1" applyFont="1" applyFill="1" applyBorder="1" applyAlignment="1">
      <alignment vertical="center"/>
    </xf>
    <xf numFmtId="41" fontId="25" fillId="0" borderId="14" xfId="7" applyNumberFormat="1" applyFont="1" applyFill="1" applyBorder="1" applyAlignment="1">
      <alignment vertical="center"/>
    </xf>
    <xf numFmtId="41" fontId="25" fillId="0" borderId="47" xfId="3" applyNumberFormat="1" applyFont="1" applyFill="1" applyBorder="1" applyAlignment="1">
      <alignment vertical="center"/>
    </xf>
    <xf numFmtId="43" fontId="110" fillId="0" borderId="15" xfId="7" applyNumberFormat="1" applyFont="1" applyFill="1" applyBorder="1" applyAlignment="1">
      <alignment vertical="center"/>
    </xf>
    <xf numFmtId="0" fontId="20" fillId="0" borderId="38" xfId="7" applyFont="1" applyFill="1" applyBorder="1" applyAlignment="1">
      <alignment vertical="center"/>
    </xf>
    <xf numFmtId="4" fontId="20" fillId="0" borderId="38" xfId="7" applyNumberFormat="1" applyFont="1" applyFill="1" applyBorder="1" applyAlignment="1">
      <alignment vertical="center"/>
    </xf>
    <xf numFmtId="41" fontId="26" fillId="0" borderId="38" xfId="7" applyNumberFormat="1" applyFont="1" applyFill="1" applyBorder="1" applyAlignment="1">
      <alignment vertical="center"/>
    </xf>
    <xf numFmtId="41" fontId="20" fillId="0" borderId="38" xfId="7" applyNumberFormat="1" applyFont="1" applyFill="1" applyBorder="1" applyAlignment="1">
      <alignment vertical="center"/>
    </xf>
    <xf numFmtId="41" fontId="20" fillId="0" borderId="29" xfId="7" applyNumberFormat="1" applyFont="1" applyFill="1" applyBorder="1" applyAlignment="1">
      <alignment vertical="center"/>
    </xf>
    <xf numFmtId="41" fontId="26" fillId="0" borderId="31" xfId="7" applyNumberFormat="1" applyFont="1" applyFill="1" applyBorder="1" applyAlignment="1">
      <alignment horizontal="left" vertical="center"/>
    </xf>
    <xf numFmtId="3" fontId="20" fillId="2" borderId="0" xfId="7" applyNumberFormat="1" applyFont="1" applyFill="1" applyBorder="1" applyAlignment="1">
      <alignment vertical="center"/>
    </xf>
    <xf numFmtId="0" fontId="26" fillId="0" borderId="0" xfId="7" applyFont="1" applyFill="1" applyBorder="1" applyAlignment="1">
      <alignment horizontal="center" vertical="center" wrapText="1"/>
    </xf>
    <xf numFmtId="4" fontId="20" fillId="0" borderId="0" xfId="7" applyNumberFormat="1" applyFont="1" applyFill="1" applyBorder="1" applyAlignment="1">
      <alignment vertical="center"/>
    </xf>
    <xf numFmtId="41" fontId="26" fillId="0" borderId="0" xfId="7" applyNumberFormat="1" applyFont="1" applyFill="1" applyBorder="1" applyAlignment="1">
      <alignment vertical="center"/>
    </xf>
    <xf numFmtId="41" fontId="20" fillId="0" borderId="0" xfId="7" applyNumberFormat="1" applyFont="1" applyFill="1" applyBorder="1" applyAlignment="1">
      <alignment vertical="center"/>
    </xf>
    <xf numFmtId="173" fontId="26" fillId="0" borderId="0" xfId="7" applyNumberFormat="1" applyFont="1" applyFill="1" applyBorder="1" applyAlignment="1">
      <alignment vertical="center"/>
    </xf>
    <xf numFmtId="0" fontId="104" fillId="0" borderId="0" xfId="7" applyFont="1" applyFill="1" applyAlignment="1">
      <alignment horizontal="center" vertical="center" wrapText="1"/>
    </xf>
    <xf numFmtId="171" fontId="103" fillId="0" borderId="0" xfId="5" applyNumberFormat="1" applyFont="1" applyFill="1" applyBorder="1" applyAlignment="1">
      <alignment horizontal="right" vertical="center"/>
    </xf>
    <xf numFmtId="0" fontId="103" fillId="0" borderId="0" xfId="7" applyFont="1" applyFill="1" applyAlignment="1">
      <alignment vertical="center"/>
    </xf>
    <xf numFmtId="0" fontId="103" fillId="0" borderId="0" xfId="7" applyFont="1" applyFill="1" applyBorder="1" applyAlignment="1">
      <alignment vertical="center"/>
    </xf>
    <xf numFmtId="173" fontId="104" fillId="0" borderId="0" xfId="7" applyNumberFormat="1" applyFont="1" applyFill="1" applyAlignment="1">
      <alignment horizontal="center" vertical="center" wrapText="1"/>
    </xf>
    <xf numFmtId="0" fontId="111" fillId="0" borderId="0" xfId="7" applyFont="1" applyFill="1" applyAlignment="1">
      <alignment vertical="center"/>
    </xf>
    <xf numFmtId="0" fontId="111" fillId="0" borderId="0" xfId="7" applyFont="1" applyFill="1" applyBorder="1" applyAlignment="1">
      <alignment vertical="center"/>
    </xf>
    <xf numFmtId="41" fontId="112" fillId="0" borderId="0" xfId="13" applyFont="1" applyFill="1" applyAlignment="1">
      <alignment horizontal="center" vertical="center" wrapText="1"/>
    </xf>
    <xf numFmtId="43" fontId="111" fillId="0" borderId="0" xfId="7" applyNumberFormat="1" applyFont="1" applyFill="1" applyAlignment="1">
      <alignment vertical="center"/>
    </xf>
    <xf numFmtId="41" fontId="104" fillId="0" borderId="0" xfId="7" applyNumberFormat="1" applyFont="1" applyFill="1" applyAlignment="1">
      <alignment horizontal="center" vertical="center" wrapText="1"/>
    </xf>
    <xf numFmtId="0" fontId="104" fillId="0" borderId="0" xfId="7" applyFont="1" applyFill="1" applyAlignment="1">
      <alignment vertical="center"/>
    </xf>
    <xf numFmtId="0" fontId="113" fillId="0" borderId="0" xfId="7" applyFont="1" applyFill="1" applyAlignment="1">
      <alignment vertical="center"/>
    </xf>
    <xf numFmtId="0" fontId="114" fillId="0" borderId="0" xfId="7" applyFont="1" applyFill="1" applyAlignment="1">
      <alignment vertical="center"/>
    </xf>
    <xf numFmtId="0" fontId="114" fillId="0" borderId="0" xfId="7" applyFont="1" applyFill="1" applyAlignment="1">
      <alignment horizontal="center" vertical="center"/>
    </xf>
    <xf numFmtId="41" fontId="104" fillId="0" borderId="0" xfId="7" applyNumberFormat="1" applyFont="1" applyFill="1" applyAlignment="1">
      <alignment vertical="center"/>
    </xf>
    <xf numFmtId="0" fontId="108" fillId="0" borderId="0" xfId="7" applyFont="1" applyFill="1" applyAlignment="1">
      <alignment vertical="center"/>
    </xf>
    <xf numFmtId="0" fontId="111" fillId="0" borderId="0" xfId="7" applyFont="1" applyFill="1" applyAlignment="1">
      <alignment horizontal="center" vertical="center"/>
    </xf>
    <xf numFmtId="0" fontId="105" fillId="0" borderId="0" xfId="7" applyFont="1" applyFill="1" applyAlignment="1">
      <alignment horizontal="center" vertical="center"/>
    </xf>
    <xf numFmtId="0" fontId="107" fillId="0" borderId="2" xfId="7" applyFont="1" applyFill="1" applyBorder="1" applyAlignment="1">
      <alignment vertical="center" wrapText="1"/>
    </xf>
    <xf numFmtId="0" fontId="107" fillId="0" borderId="11" xfId="7" applyFont="1" applyFill="1" applyBorder="1" applyAlignment="1">
      <alignment vertical="center" wrapText="1"/>
    </xf>
    <xf numFmtId="0" fontId="107" fillId="0" borderId="23" xfId="7" applyFont="1" applyFill="1" applyBorder="1" applyAlignment="1">
      <alignment vertical="center" wrapText="1"/>
    </xf>
    <xf numFmtId="0" fontId="28" fillId="0" borderId="0" xfId="7" applyFont="1" applyFill="1" applyAlignment="1">
      <alignment horizontal="center" vertical="center"/>
    </xf>
    <xf numFmtId="43" fontId="19" fillId="0" borderId="15" xfId="7" applyNumberFormat="1" applyFont="1" applyFill="1" applyBorder="1" applyAlignment="1">
      <alignment vertical="center"/>
    </xf>
    <xf numFmtId="0" fontId="19" fillId="0" borderId="15" xfId="7" applyFont="1" applyFill="1" applyBorder="1" applyAlignment="1">
      <alignment vertical="center"/>
    </xf>
    <xf numFmtId="0" fontId="28" fillId="0" borderId="15" xfId="7" applyFont="1" applyFill="1" applyBorder="1" applyAlignment="1">
      <alignment vertical="center"/>
    </xf>
    <xf numFmtId="41" fontId="19" fillId="0" borderId="15" xfId="7" applyNumberFormat="1" applyFont="1" applyFill="1" applyBorder="1" applyAlignment="1">
      <alignment vertical="center"/>
    </xf>
    <xf numFmtId="41" fontId="19" fillId="0" borderId="15" xfId="3" applyNumberFormat="1" applyFont="1" applyFill="1" applyBorder="1" applyAlignment="1">
      <alignment vertical="center"/>
    </xf>
    <xf numFmtId="41" fontId="19" fillId="0" borderId="14" xfId="7" applyNumberFormat="1" applyFont="1" applyFill="1" applyBorder="1" applyAlignment="1">
      <alignment vertical="center"/>
    </xf>
    <xf numFmtId="0" fontId="22" fillId="0" borderId="0" xfId="7" applyFont="1" applyFill="1" applyBorder="1" applyAlignment="1">
      <alignment horizontal="center" vertical="center"/>
    </xf>
    <xf numFmtId="0" fontId="22" fillId="0" borderId="60" xfId="7" applyFont="1" applyFill="1" applyBorder="1" applyAlignment="1">
      <alignment horizontal="center" vertical="center"/>
    </xf>
    <xf numFmtId="0" fontId="115" fillId="0" borderId="0" xfId="0" applyFont="1" applyAlignment="1">
      <alignment horizontal="centerContinuous" vertical="center"/>
    </xf>
    <xf numFmtId="0" fontId="115" fillId="0" borderId="0" xfId="0" applyFont="1" applyAlignment="1">
      <alignment horizontal="center" vertical="center"/>
    </xf>
    <xf numFmtId="171" fontId="115" fillId="0" borderId="0" xfId="86" applyNumberFormat="1" applyFont="1" applyAlignment="1">
      <alignment horizontal="center" vertical="center"/>
    </xf>
    <xf numFmtId="0" fontId="115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213" fontId="117" fillId="0" borderId="0" xfId="0" applyNumberFormat="1" applyFont="1" applyAlignment="1">
      <alignment vertical="center"/>
    </xf>
    <xf numFmtId="0" fontId="117" fillId="0" borderId="0" xfId="0" applyFont="1" applyAlignment="1">
      <alignment vertical="center"/>
    </xf>
    <xf numFmtId="0" fontId="116" fillId="0" borderId="0" xfId="0" applyFont="1" applyAlignment="1">
      <alignment horizontal="center" vertical="center"/>
    </xf>
    <xf numFmtId="171" fontId="116" fillId="0" borderId="0" xfId="86" applyNumberFormat="1" applyFont="1" applyAlignment="1">
      <alignment horizontal="center" vertical="center"/>
    </xf>
    <xf numFmtId="0" fontId="118" fillId="0" borderId="60" xfId="0" applyFont="1" applyBorder="1" applyAlignment="1">
      <alignment vertical="center"/>
    </xf>
    <xf numFmtId="0" fontId="118" fillId="0" borderId="0" xfId="0" applyFont="1" applyAlignment="1">
      <alignment vertical="center"/>
    </xf>
    <xf numFmtId="0" fontId="118" fillId="0" borderId="0" xfId="0" applyFont="1" applyAlignment="1">
      <alignment horizontal="centerContinuous" vertical="center"/>
    </xf>
    <xf numFmtId="0" fontId="118" fillId="0" borderId="0" xfId="0" applyFont="1" applyAlignment="1">
      <alignment horizontal="center" vertical="center"/>
    </xf>
    <xf numFmtId="171" fontId="118" fillId="0" borderId="0" xfId="86" applyNumberFormat="1" applyFont="1" applyAlignment="1">
      <alignment horizontal="center" vertical="center"/>
    </xf>
    <xf numFmtId="0" fontId="117" fillId="3" borderId="28" xfId="0" applyFont="1" applyFill="1" applyBorder="1" applyAlignment="1">
      <alignment horizontal="center" vertical="center"/>
    </xf>
    <xf numFmtId="0" fontId="117" fillId="3" borderId="30" xfId="0" applyFont="1" applyFill="1" applyBorder="1" applyAlignment="1">
      <alignment horizontal="center" vertical="center"/>
    </xf>
    <xf numFmtId="0" fontId="58" fillId="3" borderId="30" xfId="7" applyFont="1" applyFill="1" applyBorder="1" applyAlignment="1">
      <alignment horizontal="center" vertical="center"/>
    </xf>
    <xf numFmtId="171" fontId="34" fillId="3" borderId="49" xfId="86" applyNumberFormat="1" applyFont="1" applyFill="1" applyBorder="1" applyAlignment="1">
      <alignment horizontal="center" vertical="center" wrapText="1"/>
    </xf>
    <xf numFmtId="171" fontId="34" fillId="3" borderId="35" xfId="86" applyNumberFormat="1" applyFont="1" applyFill="1" applyBorder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16" fillId="0" borderId="32" xfId="0" applyFont="1" applyBorder="1" applyAlignment="1">
      <alignment horizontal="center" vertical="center"/>
    </xf>
    <xf numFmtId="0" fontId="116" fillId="0" borderId="26" xfId="0" applyFont="1" applyBorder="1" applyAlignment="1">
      <alignment vertical="center"/>
    </xf>
    <xf numFmtId="14" fontId="116" fillId="0" borderId="26" xfId="0" applyNumberFormat="1" applyFont="1" applyBorder="1" applyAlignment="1">
      <alignment horizontal="center" vertical="center"/>
    </xf>
    <xf numFmtId="0" fontId="117" fillId="0" borderId="26" xfId="0" applyFont="1" applyBorder="1" applyAlignment="1">
      <alignment horizontal="left" vertical="center"/>
    </xf>
    <xf numFmtId="0" fontId="116" fillId="0" borderId="26" xfId="0" applyFont="1" applyBorder="1" applyAlignment="1">
      <alignment horizontal="center" vertical="center"/>
    </xf>
    <xf numFmtId="171" fontId="116" fillId="0" borderId="33" xfId="86" applyNumberFormat="1" applyFont="1" applyBorder="1" applyAlignment="1">
      <alignment horizontal="center" vertical="center"/>
    </xf>
    <xf numFmtId="0" fontId="116" fillId="0" borderId="27" xfId="0" applyFont="1" applyBorder="1" applyAlignment="1">
      <alignment horizontal="center" vertical="center"/>
    </xf>
    <xf numFmtId="0" fontId="116" fillId="0" borderId="70" xfId="0" applyFont="1" applyBorder="1" applyAlignment="1">
      <alignment vertical="center"/>
    </xf>
    <xf numFmtId="14" fontId="116" fillId="0" borderId="70" xfId="0" applyNumberFormat="1" applyFont="1" applyBorder="1" applyAlignment="1">
      <alignment horizontal="center" vertical="center"/>
    </xf>
    <xf numFmtId="0" fontId="117" fillId="0" borderId="70" xfId="0" applyFont="1" applyBorder="1" applyAlignment="1">
      <alignment horizontal="left" vertical="center"/>
    </xf>
    <xf numFmtId="0" fontId="116" fillId="0" borderId="70" xfId="0" applyFont="1" applyBorder="1" applyAlignment="1">
      <alignment horizontal="center" vertical="center"/>
    </xf>
    <xf numFmtId="171" fontId="116" fillId="0" borderId="36" xfId="86" applyNumberFormat="1" applyFont="1" applyBorder="1" applyAlignment="1">
      <alignment horizontal="center" vertical="center"/>
    </xf>
    <xf numFmtId="171" fontId="116" fillId="0" borderId="4" xfId="86" applyNumberFormat="1" applyFont="1" applyFill="1" applyBorder="1" applyAlignment="1">
      <alignment horizontal="center" vertical="center"/>
    </xf>
    <xf numFmtId="171" fontId="116" fillId="0" borderId="13" xfId="86" applyNumberFormat="1" applyFont="1" applyFill="1" applyBorder="1" applyAlignment="1">
      <alignment horizontal="center" vertical="center"/>
    </xf>
    <xf numFmtId="171" fontId="116" fillId="0" borderId="0" xfId="86" applyNumberFormat="1" applyFont="1" applyFill="1" applyAlignment="1">
      <alignment horizontal="center" vertical="center"/>
    </xf>
    <xf numFmtId="0" fontId="118" fillId="0" borderId="0" xfId="0" applyFont="1" applyBorder="1" applyAlignment="1">
      <alignment vertical="center"/>
    </xf>
    <xf numFmtId="0" fontId="58" fillId="3" borderId="30" xfId="7" applyFont="1" applyFill="1" applyBorder="1" applyAlignment="1">
      <alignment horizontal="center" vertical="center" wrapText="1"/>
    </xf>
    <xf numFmtId="0" fontId="116" fillId="0" borderId="52" xfId="0" applyFont="1" applyBorder="1" applyAlignment="1">
      <alignment horizontal="center" vertical="center"/>
    </xf>
    <xf numFmtId="0" fontId="116" fillId="0" borderId="25" xfId="0" applyFont="1" applyBorder="1" applyAlignment="1">
      <alignment vertical="center"/>
    </xf>
    <xf numFmtId="14" fontId="116" fillId="0" borderId="25" xfId="0" applyNumberFormat="1" applyFont="1" applyBorder="1" applyAlignment="1">
      <alignment horizontal="center" vertical="center"/>
    </xf>
    <xf numFmtId="0" fontId="117" fillId="0" borderId="25" xfId="0" applyFont="1" applyBorder="1" applyAlignment="1">
      <alignment horizontal="left" vertical="center"/>
    </xf>
    <xf numFmtId="0" fontId="116" fillId="0" borderId="25" xfId="0" applyFont="1" applyBorder="1" applyAlignment="1">
      <alignment horizontal="center" vertical="center"/>
    </xf>
    <xf numFmtId="171" fontId="116" fillId="0" borderId="57" xfId="86" applyNumberFormat="1" applyFont="1" applyFill="1" applyBorder="1" applyAlignment="1">
      <alignment horizontal="center" vertical="center"/>
    </xf>
    <xf numFmtId="0" fontId="16" fillId="0" borderId="0" xfId="7" applyFont="1" applyFill="1" applyBorder="1" applyAlignment="1">
      <alignment vertical="center"/>
    </xf>
    <xf numFmtId="41" fontId="17" fillId="0" borderId="0" xfId="7" applyNumberFormat="1" applyFont="1" applyFill="1" applyBorder="1" applyAlignment="1">
      <alignment vertical="center"/>
    </xf>
    <xf numFmtId="0" fontId="13" fillId="0" borderId="0" xfId="7" applyFont="1" applyFill="1" applyAlignment="1">
      <alignment horizontal="center" vertical="center" wrapText="1"/>
    </xf>
    <xf numFmtId="4" fontId="16" fillId="0" borderId="0" xfId="7" applyNumberFormat="1" applyFont="1" applyFill="1" applyBorder="1" applyAlignment="1">
      <alignment vertical="center"/>
    </xf>
    <xf numFmtId="0" fontId="119" fillId="0" borderId="0" xfId="7" applyFont="1" applyFill="1" applyAlignment="1">
      <alignment vertical="center"/>
    </xf>
    <xf numFmtId="0" fontId="117" fillId="0" borderId="26" xfId="0" applyFont="1" applyBorder="1" applyAlignment="1">
      <alignment horizontal="center" vertical="center"/>
    </xf>
    <xf numFmtId="0" fontId="117" fillId="0" borderId="83" xfId="0" applyFont="1" applyBorder="1" applyAlignment="1">
      <alignment horizontal="center" vertical="center"/>
    </xf>
    <xf numFmtId="0" fontId="117" fillId="0" borderId="25" xfId="0" applyFont="1" applyBorder="1" applyAlignment="1">
      <alignment horizontal="center" vertical="center"/>
    </xf>
    <xf numFmtId="0" fontId="22" fillId="3" borderId="0" xfId="7" applyFont="1" applyFill="1" applyBorder="1" applyAlignment="1">
      <alignment horizontal="center" vertical="center"/>
    </xf>
    <xf numFmtId="0" fontId="22" fillId="3" borderId="60" xfId="7" applyFont="1" applyFill="1" applyBorder="1" applyAlignment="1">
      <alignment horizontal="center" vertical="center"/>
    </xf>
    <xf numFmtId="0" fontId="31" fillId="0" borderId="0" xfId="7" applyFont="1" applyFill="1" applyAlignment="1">
      <alignment vertical="center"/>
    </xf>
    <xf numFmtId="0" fontId="32" fillId="0" borderId="0" xfId="7" applyFont="1" applyFill="1" applyAlignment="1">
      <alignment vertical="center"/>
    </xf>
    <xf numFmtId="0" fontId="33" fillId="0" borderId="0" xfId="7" applyFont="1" applyFill="1" applyAlignment="1">
      <alignment vertical="center"/>
    </xf>
    <xf numFmtId="0" fontId="120" fillId="0" borderId="0" xfId="7" applyFont="1" applyFill="1" applyAlignment="1">
      <alignment horizontal="center" vertical="center" wrapText="1"/>
    </xf>
    <xf numFmtId="0" fontId="122" fillId="0" borderId="0" xfId="7" applyFont="1" applyFill="1" applyAlignment="1">
      <alignment horizontal="center" vertical="center" wrapText="1"/>
    </xf>
    <xf numFmtId="0" fontId="120" fillId="0" borderId="0" xfId="7" applyFont="1" applyFill="1" applyAlignment="1">
      <alignment vertical="center"/>
    </xf>
    <xf numFmtId="0" fontId="123" fillId="0" borderId="0" xfId="7" applyFont="1" applyFill="1" applyAlignment="1">
      <alignment vertical="center"/>
    </xf>
    <xf numFmtId="41" fontId="126" fillId="0" borderId="60" xfId="27" applyFont="1" applyFill="1" applyBorder="1" applyAlignment="1">
      <alignment vertical="center"/>
    </xf>
    <xf numFmtId="41" fontId="127" fillId="0" borderId="0" xfId="27" applyFont="1" applyFill="1" applyAlignment="1">
      <alignment horizontal="center" vertical="center"/>
    </xf>
    <xf numFmtId="41" fontId="127" fillId="0" borderId="60" xfId="27" applyFont="1" applyFill="1" applyBorder="1" applyAlignment="1">
      <alignment horizontal="center" vertical="center"/>
    </xf>
    <xf numFmtId="172" fontId="128" fillId="0" borderId="60" xfId="27" applyNumberFormat="1" applyFont="1" applyFill="1" applyBorder="1" applyAlignment="1">
      <alignment horizontal="center" vertical="center"/>
    </xf>
    <xf numFmtId="172" fontId="127" fillId="0" borderId="0" xfId="27" applyNumberFormat="1" applyFont="1" applyFill="1" applyAlignment="1">
      <alignment horizontal="center" vertical="center"/>
    </xf>
    <xf numFmtId="41" fontId="125" fillId="0" borderId="11" xfId="27" applyFont="1" applyFill="1" applyBorder="1" applyAlignment="1">
      <alignment horizontal="center" vertical="center"/>
    </xf>
    <xf numFmtId="41" fontId="125" fillId="0" borderId="0" xfId="27" applyFont="1" applyFill="1" applyAlignment="1">
      <alignment horizontal="center" vertical="center"/>
    </xf>
    <xf numFmtId="41" fontId="125" fillId="0" borderId="25" xfId="27" applyFont="1" applyFill="1" applyBorder="1" applyAlignment="1">
      <alignment horizontal="center" vertical="center"/>
    </xf>
    <xf numFmtId="41" fontId="125" fillId="3" borderId="25" xfId="27" applyFont="1" applyFill="1" applyBorder="1" applyAlignment="1">
      <alignment horizontal="center" vertical="center"/>
    </xf>
    <xf numFmtId="41" fontId="5" fillId="0" borderId="9" xfId="27" applyFont="1" applyFill="1" applyBorder="1" applyAlignment="1">
      <alignment horizontal="center" vertical="center"/>
    </xf>
    <xf numFmtId="41" fontId="5" fillId="0" borderId="26" xfId="27" applyFont="1" applyFill="1" applyBorder="1" applyAlignment="1">
      <alignment horizontal="center" vertical="center"/>
    </xf>
    <xf numFmtId="41" fontId="5" fillId="3" borderId="26" xfId="27" applyFont="1" applyFill="1" applyBorder="1" applyAlignment="1">
      <alignment horizontal="center" vertical="center"/>
    </xf>
    <xf numFmtId="172" fontId="130" fillId="0" borderId="40" xfId="85" applyNumberFormat="1" applyFont="1" applyFill="1" applyBorder="1" applyAlignment="1">
      <alignment horizontal="center" vertical="center"/>
    </xf>
    <xf numFmtId="172" fontId="5" fillId="0" borderId="33" xfId="27" applyNumberFormat="1" applyFont="1" applyFill="1" applyBorder="1" applyAlignment="1">
      <alignment horizontal="center" vertical="center"/>
    </xf>
    <xf numFmtId="41" fontId="5" fillId="0" borderId="0" xfId="27" applyFont="1" applyFill="1" applyAlignment="1">
      <alignment horizontal="center" vertical="center"/>
    </xf>
    <xf numFmtId="41" fontId="5" fillId="0" borderId="56" xfId="27" applyFont="1" applyFill="1" applyBorder="1" applyAlignment="1">
      <alignment horizontal="center" vertical="center"/>
    </xf>
    <xf numFmtId="41" fontId="5" fillId="0" borderId="25" xfId="27" applyFont="1" applyFill="1" applyBorder="1" applyAlignment="1">
      <alignment horizontal="center" vertical="center"/>
    </xf>
    <xf numFmtId="41" fontId="5" fillId="3" borderId="25" xfId="27" applyFont="1" applyFill="1" applyBorder="1" applyAlignment="1">
      <alignment horizontal="center" vertical="center"/>
    </xf>
    <xf numFmtId="176" fontId="5" fillId="0" borderId="25" xfId="27" applyNumberFormat="1" applyFont="1" applyFill="1" applyBorder="1" applyAlignment="1">
      <alignment horizontal="center" vertical="center"/>
    </xf>
    <xf numFmtId="169" fontId="130" fillId="0" borderId="16" xfId="86" applyFont="1" applyFill="1" applyBorder="1" applyAlignment="1">
      <alignment horizontal="center" vertical="center"/>
    </xf>
    <xf numFmtId="172" fontId="5" fillId="0" borderId="53" xfId="27" applyNumberFormat="1" applyFont="1" applyFill="1" applyBorder="1" applyAlignment="1">
      <alignment horizontal="center" vertical="center"/>
    </xf>
    <xf numFmtId="41" fontId="125" fillId="0" borderId="37" xfId="27" applyFont="1" applyFill="1" applyBorder="1" applyAlignment="1">
      <alignment horizontal="center" vertical="center"/>
    </xf>
    <xf numFmtId="41" fontId="125" fillId="0" borderId="31" xfId="27" applyFont="1" applyFill="1" applyBorder="1" applyAlignment="1">
      <alignment horizontal="center" vertical="center"/>
    </xf>
    <xf numFmtId="41" fontId="125" fillId="0" borderId="30" xfId="27" applyFont="1" applyFill="1" applyBorder="1" applyAlignment="1">
      <alignment horizontal="center" vertical="center"/>
    </xf>
    <xf numFmtId="41" fontId="125" fillId="3" borderId="30" xfId="27" applyFont="1" applyFill="1" applyBorder="1" applyAlignment="1">
      <alignment horizontal="center" vertical="center"/>
    </xf>
    <xf numFmtId="172" fontId="129" fillId="0" borderId="30" xfId="27" applyNumberFormat="1" applyFont="1" applyFill="1" applyBorder="1" applyAlignment="1">
      <alignment horizontal="center" vertical="center"/>
    </xf>
    <xf numFmtId="172" fontId="125" fillId="0" borderId="31" xfId="27" applyNumberFormat="1" applyFont="1" applyFill="1" applyBorder="1" applyAlignment="1">
      <alignment horizontal="center" vertical="center"/>
    </xf>
    <xf numFmtId="41" fontId="125" fillId="0" borderId="29" xfId="27" applyFont="1" applyFill="1" applyBorder="1" applyAlignment="1">
      <alignment horizontal="center" vertical="center"/>
    </xf>
    <xf numFmtId="172" fontId="125" fillId="0" borderId="35" xfId="27" applyNumberFormat="1" applyFont="1" applyFill="1" applyBorder="1" applyAlignment="1">
      <alignment horizontal="center" vertical="center"/>
    </xf>
    <xf numFmtId="41" fontId="125" fillId="0" borderId="38" xfId="27" applyFont="1" applyFill="1" applyBorder="1" applyAlignment="1">
      <alignment horizontal="center" vertical="center"/>
    </xf>
    <xf numFmtId="41" fontId="125" fillId="3" borderId="38" xfId="27" applyFont="1" applyFill="1" applyBorder="1" applyAlignment="1">
      <alignment horizontal="center" vertical="center"/>
    </xf>
    <xf numFmtId="172" fontId="129" fillId="0" borderId="38" xfId="27" applyNumberFormat="1" applyFont="1" applyFill="1" applyBorder="1" applyAlignment="1">
      <alignment horizontal="center" vertical="center"/>
    </xf>
    <xf numFmtId="41" fontId="125" fillId="0" borderId="30" xfId="27" applyNumberFormat="1" applyFont="1" applyFill="1" applyBorder="1" applyAlignment="1">
      <alignment horizontal="center" vertical="center"/>
    </xf>
    <xf numFmtId="41" fontId="5" fillId="3" borderId="0" xfId="27" applyFont="1" applyFill="1" applyAlignment="1">
      <alignment horizontal="center" vertical="center"/>
    </xf>
    <xf numFmtId="172" fontId="128" fillId="0" borderId="0" xfId="27" applyNumberFormat="1" applyFont="1" applyFill="1" applyAlignment="1">
      <alignment horizontal="center" vertical="center"/>
    </xf>
    <xf numFmtId="172" fontId="5" fillId="0" borderId="0" xfId="27" applyNumberFormat="1" applyFont="1" applyFill="1" applyAlignment="1">
      <alignment horizontal="center" vertical="center"/>
    </xf>
    <xf numFmtId="41" fontId="5" fillId="0" borderId="0" xfId="27" applyFont="1" applyFill="1" applyAlignment="1">
      <alignment horizontal="center"/>
    </xf>
    <xf numFmtId="41" fontId="5" fillId="3" borderId="0" xfId="27" applyFont="1" applyFill="1" applyAlignment="1">
      <alignment horizontal="center"/>
    </xf>
    <xf numFmtId="172" fontId="128" fillId="0" borderId="0" xfId="27" applyNumberFormat="1" applyFont="1" applyFill="1" applyAlignment="1">
      <alignment horizontal="center"/>
    </xf>
    <xf numFmtId="172" fontId="5" fillId="0" borderId="0" xfId="27" applyNumberFormat="1" applyFont="1" applyFill="1" applyAlignment="1">
      <alignment horizontal="center"/>
    </xf>
    <xf numFmtId="41" fontId="127" fillId="3" borderId="60" xfId="27" applyFont="1" applyFill="1" applyBorder="1" applyAlignment="1">
      <alignment horizontal="center" vertical="center"/>
    </xf>
    <xf numFmtId="172" fontId="11" fillId="0" borderId="40" xfId="0" applyNumberFormat="1" applyFont="1" applyFill="1" applyBorder="1" applyAlignment="1">
      <alignment horizontal="center" vertical="center"/>
    </xf>
    <xf numFmtId="172" fontId="11" fillId="0" borderId="83" xfId="0" applyNumberFormat="1" applyFont="1" applyFill="1" applyBorder="1" applyAlignment="1">
      <alignment horizontal="center" vertical="center"/>
    </xf>
    <xf numFmtId="41" fontId="5" fillId="0" borderId="85" xfId="27" applyFont="1" applyFill="1" applyBorder="1" applyAlignment="1">
      <alignment horizontal="center" vertical="center"/>
    </xf>
    <xf numFmtId="0" fontId="3" fillId="0" borderId="0" xfId="1504"/>
    <xf numFmtId="0" fontId="3" fillId="0" borderId="0" xfId="1504" applyAlignment="1">
      <alignment horizontal="left"/>
    </xf>
    <xf numFmtId="3" fontId="129" fillId="45" borderId="85" xfId="1504" applyNumberFormat="1" applyFont="1" applyFill="1" applyBorder="1" applyAlignment="1">
      <alignment horizontal="center"/>
    </xf>
    <xf numFmtId="3" fontId="133" fillId="45" borderId="85" xfId="1504" applyNumberFormat="1" applyFont="1" applyFill="1" applyBorder="1" applyAlignment="1">
      <alignment horizontal="center" vertical="center"/>
    </xf>
    <xf numFmtId="3" fontId="125" fillId="46" borderId="38" xfId="1504" applyNumberFormat="1" applyFont="1" applyFill="1" applyBorder="1" applyAlignment="1">
      <alignment horizontal="center"/>
    </xf>
    <xf numFmtId="3" fontId="134" fillId="46" borderId="38" xfId="1504" applyNumberFormat="1" applyFont="1" applyFill="1" applyBorder="1" applyAlignment="1">
      <alignment horizontal="center"/>
    </xf>
    <xf numFmtId="3" fontId="125" fillId="46" borderId="31" xfId="1504" applyNumberFormat="1" applyFont="1" applyFill="1" applyBorder="1" applyAlignment="1">
      <alignment horizontal="center"/>
    </xf>
    <xf numFmtId="3" fontId="3" fillId="0" borderId="0" xfId="1504" applyNumberFormat="1"/>
    <xf numFmtId="3" fontId="3" fillId="0" borderId="84" xfId="1504" applyNumberFormat="1" applyBorder="1" applyAlignment="1">
      <alignment horizontal="center"/>
    </xf>
    <xf numFmtId="3" fontId="3" fillId="0" borderId="19" xfId="1504" applyNumberFormat="1" applyBorder="1" applyAlignment="1">
      <alignment horizontal="center"/>
    </xf>
    <xf numFmtId="3" fontId="3" fillId="0" borderId="40" xfId="1504" applyNumberFormat="1" applyBorder="1" applyAlignment="1">
      <alignment horizontal="left"/>
    </xf>
    <xf numFmtId="3" fontId="3" fillId="0" borderId="40" xfId="1504" applyNumberFormat="1" applyBorder="1" applyAlignment="1">
      <alignment horizontal="center"/>
    </xf>
    <xf numFmtId="3" fontId="3" fillId="2" borderId="40" xfId="1504" applyNumberFormat="1" applyFill="1" applyBorder="1" applyAlignment="1">
      <alignment horizontal="center"/>
    </xf>
    <xf numFmtId="3" fontId="131" fillId="0" borderId="40" xfId="1504" applyNumberFormat="1" applyFont="1" applyBorder="1" applyAlignment="1">
      <alignment horizontal="center" vertical="center"/>
    </xf>
    <xf numFmtId="177" fontId="0" fillId="0" borderId="0" xfId="1503" applyNumberFormat="1" applyFont="1" applyAlignment="1">
      <alignment vertical="top"/>
    </xf>
    <xf numFmtId="3" fontId="3" fillId="0" borderId="83" xfId="1504" applyNumberFormat="1" applyBorder="1" applyAlignment="1">
      <alignment horizontal="center"/>
    </xf>
    <xf numFmtId="3" fontId="131" fillId="0" borderId="40" xfId="1504" applyNumberFormat="1" applyFont="1" applyBorder="1" applyAlignment="1">
      <alignment horizontal="center"/>
    </xf>
    <xf numFmtId="3" fontId="125" fillId="0" borderId="67" xfId="1504" applyNumberFormat="1" applyFont="1" applyBorder="1" applyAlignment="1">
      <alignment horizontal="center"/>
    </xf>
    <xf numFmtId="3" fontId="3" fillId="0" borderId="92" xfId="1504" applyNumberFormat="1" applyBorder="1" applyAlignment="1">
      <alignment horizontal="center"/>
    </xf>
    <xf numFmtId="3" fontId="3" fillId="0" borderId="88" xfId="1504" applyNumberFormat="1" applyBorder="1" applyAlignment="1">
      <alignment horizontal="center"/>
    </xf>
    <xf numFmtId="3" fontId="3" fillId="2" borderId="83" xfId="1504" applyNumberFormat="1" applyFill="1" applyBorder="1" applyAlignment="1">
      <alignment horizontal="center"/>
    </xf>
    <xf numFmtId="3" fontId="131" fillId="0" borderId="83" xfId="1504" applyNumberFormat="1" applyFont="1" applyBorder="1" applyAlignment="1">
      <alignment horizontal="center" vertical="center"/>
    </xf>
    <xf numFmtId="3" fontId="131" fillId="0" borderId="83" xfId="1504" applyNumberFormat="1" applyFont="1" applyBorder="1" applyAlignment="1">
      <alignment horizontal="center"/>
    </xf>
    <xf numFmtId="3" fontId="125" fillId="0" borderId="93" xfId="1504" applyNumberFormat="1" applyFont="1" applyBorder="1" applyAlignment="1">
      <alignment horizontal="center"/>
    </xf>
    <xf numFmtId="4" fontId="3" fillId="0" borderId="0" xfId="1504" applyNumberFormat="1"/>
    <xf numFmtId="3" fontId="125" fillId="0" borderId="30" xfId="1504" applyNumberFormat="1" applyFont="1" applyBorder="1" applyAlignment="1">
      <alignment horizontal="center"/>
    </xf>
    <xf numFmtId="3" fontId="125" fillId="46" borderId="96" xfId="1504" applyNumberFormat="1" applyFont="1" applyFill="1" applyBorder="1" applyAlignment="1">
      <alignment horizontal="center"/>
    </xf>
    <xf numFmtId="0" fontId="135" fillId="0" borderId="0" xfId="7" applyFont="1" applyFill="1" applyAlignment="1">
      <alignment vertical="center"/>
    </xf>
    <xf numFmtId="0" fontId="135" fillId="0" borderId="0" xfId="7" applyFont="1" applyFill="1" applyAlignment="1">
      <alignment horizontal="center" vertical="center"/>
    </xf>
    <xf numFmtId="171" fontId="135" fillId="0" borderId="0" xfId="5" applyNumberFormat="1" applyFont="1" applyFill="1" applyBorder="1" applyAlignment="1">
      <alignment horizontal="right" vertical="center"/>
    </xf>
    <xf numFmtId="171" fontId="136" fillId="0" borderId="0" xfId="5" applyNumberFormat="1" applyFont="1" applyFill="1" applyBorder="1" applyAlignment="1">
      <alignment horizontal="center" vertical="center"/>
    </xf>
    <xf numFmtId="0" fontId="137" fillId="0" borderId="0" xfId="7" applyFont="1" applyFill="1" applyAlignment="1">
      <alignment vertical="center"/>
    </xf>
    <xf numFmtId="0" fontId="137" fillId="0" borderId="0" xfId="7" applyFont="1" applyFill="1" applyAlignment="1">
      <alignment horizontal="center" vertical="center"/>
    </xf>
    <xf numFmtId="171" fontId="158" fillId="0" borderId="0" xfId="1505" applyNumberFormat="1" applyFont="1"/>
    <xf numFmtId="171" fontId="158" fillId="0" borderId="0" xfId="1505" applyNumberFormat="1" applyFont="1" applyAlignment="1">
      <alignment horizontal="left"/>
    </xf>
    <xf numFmtId="0" fontId="135" fillId="0" borderId="0" xfId="7" applyFont="1" applyFill="1" applyAlignment="1">
      <alignment horizontal="right" vertical="center"/>
    </xf>
    <xf numFmtId="0" fontId="159" fillId="0" borderId="0" xfId="7" applyFont="1" applyFill="1" applyAlignment="1">
      <alignment horizontal="left" vertical="center" textRotation="90"/>
    </xf>
    <xf numFmtId="0" fontId="160" fillId="0" borderId="0" xfId="7" applyFont="1" applyFill="1" applyAlignment="1">
      <alignment vertical="center"/>
    </xf>
    <xf numFmtId="171" fontId="135" fillId="0" borderId="0" xfId="1505" applyNumberFormat="1" applyFont="1" applyFill="1" applyAlignment="1">
      <alignment horizontal="center" vertical="center"/>
    </xf>
    <xf numFmtId="41" fontId="135" fillId="0" borderId="0" xfId="7" applyNumberFormat="1" applyFont="1" applyFill="1" applyAlignment="1">
      <alignment vertical="center"/>
    </xf>
    <xf numFmtId="173" fontId="135" fillId="0" borderId="0" xfId="7" applyNumberFormat="1" applyFont="1" applyFill="1" applyAlignment="1">
      <alignment vertical="center"/>
    </xf>
    <xf numFmtId="173" fontId="135" fillId="0" borderId="0" xfId="7" applyNumberFormat="1" applyFont="1" applyFill="1" applyAlignment="1">
      <alignment horizontal="center" vertical="center"/>
    </xf>
    <xf numFmtId="171" fontId="135" fillId="0" borderId="0" xfId="1505" applyNumberFormat="1" applyFont="1" applyFill="1" applyAlignment="1">
      <alignment vertical="center"/>
    </xf>
    <xf numFmtId="41" fontId="135" fillId="0" borderId="0" xfId="1506" applyFont="1" applyFill="1" applyAlignment="1">
      <alignment vertical="center"/>
    </xf>
    <xf numFmtId="41" fontId="135" fillId="0" borderId="0" xfId="1506" applyFont="1" applyFill="1" applyAlignment="1">
      <alignment horizontal="right" vertical="center"/>
    </xf>
    <xf numFmtId="171" fontId="137" fillId="47" borderId="0" xfId="1504" applyNumberFormat="1" applyFont="1" applyFill="1"/>
    <xf numFmtId="171" fontId="137" fillId="0" borderId="0" xfId="7" applyNumberFormat="1" applyFont="1" applyFill="1" applyAlignment="1">
      <alignment vertical="center"/>
    </xf>
    <xf numFmtId="171" fontId="135" fillId="0" borderId="0" xfId="1505" applyNumberFormat="1" applyFont="1" applyFill="1" applyBorder="1" applyAlignment="1">
      <alignment horizontal="right" vertical="center"/>
    </xf>
    <xf numFmtId="0" fontId="161" fillId="0" borderId="0" xfId="7" applyFont="1" applyFill="1" applyAlignment="1">
      <alignment horizontal="left" vertical="center" textRotation="90"/>
    </xf>
    <xf numFmtId="0" fontId="162" fillId="0" borderId="0" xfId="7" applyFont="1" applyFill="1" applyAlignment="1">
      <alignment vertical="center"/>
    </xf>
    <xf numFmtId="171" fontId="137" fillId="0" borderId="0" xfId="1505" applyNumberFormat="1" applyFont="1" applyFill="1" applyBorder="1" applyAlignment="1">
      <alignment horizontal="right" vertical="center"/>
    </xf>
    <xf numFmtId="171" fontId="137" fillId="0" borderId="0" xfId="5" applyNumberFormat="1" applyFont="1" applyFill="1" applyBorder="1" applyAlignment="1">
      <alignment horizontal="right" vertical="center"/>
    </xf>
    <xf numFmtId="173" fontId="137" fillId="0" borderId="0" xfId="7" applyNumberFormat="1" applyFont="1" applyFill="1" applyAlignment="1">
      <alignment vertical="center"/>
    </xf>
    <xf numFmtId="173" fontId="137" fillId="0" borderId="0" xfId="7" applyNumberFormat="1" applyFont="1" applyFill="1" applyAlignment="1">
      <alignment horizontal="center" vertical="center"/>
    </xf>
    <xf numFmtId="171" fontId="137" fillId="0" borderId="0" xfId="1505" applyNumberFormat="1" applyFont="1" applyFill="1" applyAlignment="1">
      <alignment vertical="center"/>
    </xf>
    <xf numFmtId="171" fontId="137" fillId="0" borderId="0" xfId="1505" applyNumberFormat="1" applyFont="1" applyFill="1" applyAlignment="1">
      <alignment horizontal="center" vertical="center"/>
    </xf>
    <xf numFmtId="41" fontId="137" fillId="0" borderId="0" xfId="1506" applyFont="1" applyFill="1" applyAlignment="1">
      <alignment vertical="center"/>
    </xf>
    <xf numFmtId="41" fontId="137" fillId="0" borderId="0" xfId="1506" applyFont="1" applyFill="1" applyAlignment="1">
      <alignment horizontal="right" vertical="center"/>
    </xf>
    <xf numFmtId="171" fontId="135" fillId="0" borderId="0" xfId="7" applyNumberFormat="1" applyFont="1" applyFill="1" applyAlignment="1">
      <alignment vertical="center"/>
    </xf>
    <xf numFmtId="171" fontId="135" fillId="0" borderId="0" xfId="7" applyNumberFormat="1" applyFont="1" applyFill="1" applyAlignment="1">
      <alignment horizontal="right" vertical="center"/>
    </xf>
    <xf numFmtId="0" fontId="137" fillId="0" borderId="0" xfId="7" applyFont="1" applyFill="1" applyAlignment="1">
      <alignment horizontal="center" vertical="center" textRotation="90"/>
    </xf>
    <xf numFmtId="171" fontId="135" fillId="0" borderId="0" xfId="5" applyNumberFormat="1" applyFont="1" applyFill="1" applyBorder="1" applyAlignment="1">
      <alignment vertical="center"/>
    </xf>
    <xf numFmtId="171" fontId="136" fillId="0" borderId="0" xfId="1505" applyNumberFormat="1" applyFont="1" applyFill="1" applyBorder="1" applyAlignment="1">
      <alignment horizontal="center" vertical="center"/>
    </xf>
    <xf numFmtId="174" fontId="135" fillId="0" borderId="0" xfId="5" applyNumberFormat="1" applyFont="1" applyFill="1" applyBorder="1" applyAlignment="1">
      <alignment vertical="center"/>
    </xf>
    <xf numFmtId="171" fontId="136" fillId="0" borderId="0" xfId="5" applyNumberFormat="1" applyFont="1" applyFill="1" applyBorder="1" applyAlignment="1">
      <alignment horizontal="right" vertical="center"/>
    </xf>
    <xf numFmtId="171" fontId="136" fillId="0" borderId="0" xfId="5" applyNumberFormat="1" applyFont="1" applyFill="1" applyBorder="1" applyAlignment="1">
      <alignment vertical="center"/>
    </xf>
    <xf numFmtId="171" fontId="135" fillId="0" borderId="0" xfId="5" applyNumberFormat="1" applyFont="1" applyFill="1" applyBorder="1" applyAlignment="1">
      <alignment horizontal="center" vertical="center"/>
    </xf>
    <xf numFmtId="0" fontId="161" fillId="0" borderId="0" xfId="7" applyFont="1" applyFill="1" applyAlignment="1">
      <alignment horizontal="center" vertical="center" textRotation="90"/>
    </xf>
    <xf numFmtId="0" fontId="137" fillId="0" borderId="0" xfId="7" applyFont="1" applyFill="1" applyAlignment="1">
      <alignment horizontal="right" vertical="center"/>
    </xf>
    <xf numFmtId="0" fontId="157" fillId="0" borderId="0" xfId="1504" applyFont="1"/>
    <xf numFmtId="0" fontId="157" fillId="0" borderId="0" xfId="1504" applyFont="1" applyAlignment="1">
      <alignment horizontal="left"/>
    </xf>
    <xf numFmtId="0" fontId="2" fillId="0" borderId="0" xfId="1504" applyFont="1"/>
    <xf numFmtId="171" fontId="116" fillId="47" borderId="93" xfId="86" applyNumberFormat="1" applyFont="1" applyFill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/>
    </xf>
    <xf numFmtId="0" fontId="116" fillId="0" borderId="83" xfId="0" applyFont="1" applyBorder="1" applyAlignment="1">
      <alignment horizontal="center" vertical="center"/>
    </xf>
    <xf numFmtId="0" fontId="165" fillId="0" borderId="0" xfId="7" applyFont="1" applyFill="1" applyAlignment="1">
      <alignment vertical="center"/>
    </xf>
    <xf numFmtId="177" fontId="165" fillId="0" borderId="0" xfId="86" applyNumberFormat="1" applyFont="1" applyFill="1" applyAlignment="1">
      <alignment vertical="center"/>
    </xf>
    <xf numFmtId="0" fontId="167" fillId="0" borderId="0" xfId="7" applyFont="1" applyFill="1" applyAlignment="1">
      <alignment vertical="center"/>
    </xf>
    <xf numFmtId="0" fontId="168" fillId="0" borderId="0" xfId="7" applyFont="1" applyFill="1" applyAlignment="1">
      <alignment vertical="center"/>
    </xf>
    <xf numFmtId="0" fontId="169" fillId="0" borderId="0" xfId="7" applyFont="1" applyFill="1" applyAlignment="1">
      <alignment horizontal="center" vertical="center"/>
    </xf>
    <xf numFmtId="0" fontId="168" fillId="0" borderId="0" xfId="7" applyFont="1" applyFill="1" applyAlignment="1">
      <alignment horizontal="center" vertical="center"/>
    </xf>
    <xf numFmtId="171" fontId="169" fillId="0" borderId="0" xfId="7" applyNumberFormat="1" applyFont="1" applyFill="1" applyAlignment="1">
      <alignment horizontal="center" vertical="center"/>
    </xf>
    <xf numFmtId="41" fontId="170" fillId="0" borderId="0" xfId="85" applyFont="1" applyFill="1" applyAlignment="1">
      <alignment horizontal="center" vertical="center"/>
    </xf>
    <xf numFmtId="171" fontId="168" fillId="0" borderId="0" xfId="7" applyNumberFormat="1" applyFont="1" applyFill="1" applyAlignment="1">
      <alignment vertical="center"/>
    </xf>
    <xf numFmtId="0" fontId="167" fillId="0" borderId="0" xfId="7" applyFont="1" applyFill="1" applyAlignment="1">
      <alignment horizontal="center" vertical="center"/>
    </xf>
    <xf numFmtId="177" fontId="168" fillId="0" borderId="0" xfId="86" applyNumberFormat="1" applyFont="1" applyFill="1" applyAlignment="1">
      <alignment vertical="center"/>
    </xf>
    <xf numFmtId="0" fontId="171" fillId="0" borderId="1" xfId="7" applyFont="1" applyFill="1" applyBorder="1" applyAlignment="1">
      <alignment vertical="center" wrapText="1"/>
    </xf>
    <xf numFmtId="0" fontId="171" fillId="0" borderId="3" xfId="7" applyFont="1" applyFill="1" applyBorder="1" applyAlignment="1">
      <alignment vertical="center"/>
    </xf>
    <xf numFmtId="0" fontId="171" fillId="0" borderId="0" xfId="7" applyFont="1" applyFill="1" applyAlignment="1">
      <alignment vertical="center"/>
    </xf>
    <xf numFmtId="177" fontId="171" fillId="0" borderId="0" xfId="86" applyNumberFormat="1" applyFont="1" applyFill="1" applyAlignment="1">
      <alignment vertical="center"/>
    </xf>
    <xf numFmtId="0" fontId="171" fillId="0" borderId="10" xfId="7" applyFont="1" applyFill="1" applyBorder="1" applyAlignment="1">
      <alignment horizontal="center" vertical="center" wrapText="1"/>
    </xf>
    <xf numFmtId="0" fontId="171" fillId="0" borderId="12" xfId="7" applyFont="1" applyFill="1" applyBorder="1" applyAlignment="1">
      <alignment horizontal="center" vertical="center"/>
    </xf>
    <xf numFmtId="0" fontId="171" fillId="0" borderId="20" xfId="7" applyFont="1" applyFill="1" applyBorder="1" applyAlignment="1">
      <alignment horizontal="center" vertical="center"/>
    </xf>
    <xf numFmtId="0" fontId="171" fillId="0" borderId="21" xfId="7" applyFont="1" applyFill="1" applyBorder="1" applyAlignment="1">
      <alignment horizontal="center" vertical="center"/>
    </xf>
    <xf numFmtId="0" fontId="171" fillId="0" borderId="40" xfId="7" applyFont="1" applyFill="1" applyBorder="1" applyAlignment="1">
      <alignment horizontal="center" vertical="center"/>
    </xf>
    <xf numFmtId="0" fontId="171" fillId="0" borderId="16" xfId="7" applyFont="1" applyFill="1" applyBorder="1" applyAlignment="1">
      <alignment vertical="center"/>
    </xf>
    <xf numFmtId="0" fontId="171" fillId="0" borderId="41" xfId="7" applyFont="1" applyFill="1" applyBorder="1" applyAlignment="1">
      <alignment vertical="center"/>
    </xf>
    <xf numFmtId="0" fontId="171" fillId="0" borderId="66" xfId="7" applyFont="1" applyFill="1" applyBorder="1" applyAlignment="1">
      <alignment vertical="center"/>
    </xf>
    <xf numFmtId="0" fontId="171" fillId="0" borderId="0" xfId="7" applyFont="1" applyFill="1" applyBorder="1" applyAlignment="1">
      <alignment vertical="center"/>
    </xf>
    <xf numFmtId="169" fontId="171" fillId="0" borderId="0" xfId="7" applyNumberFormat="1" applyFont="1" applyFill="1" applyAlignment="1">
      <alignment vertical="center"/>
    </xf>
    <xf numFmtId="0" fontId="171" fillId="0" borderId="22" xfId="7" applyFont="1" applyFill="1" applyBorder="1" applyAlignment="1">
      <alignment horizontal="center" vertical="center" wrapText="1"/>
    </xf>
    <xf numFmtId="0" fontId="171" fillId="0" borderId="24" xfId="7" applyFont="1" applyFill="1" applyBorder="1" applyAlignment="1">
      <alignment horizontal="center" vertical="center"/>
    </xf>
    <xf numFmtId="0" fontId="171" fillId="0" borderId="16" xfId="7" applyFont="1" applyFill="1" applyBorder="1" applyAlignment="1">
      <alignment horizontal="center" vertical="center"/>
    </xf>
    <xf numFmtId="0" fontId="171" fillId="0" borderId="23" xfId="7" applyFont="1" applyFill="1" applyBorder="1" applyAlignment="1">
      <alignment vertical="center"/>
    </xf>
    <xf numFmtId="0" fontId="171" fillId="0" borderId="42" xfId="7" applyFont="1" applyFill="1" applyBorder="1" applyAlignment="1">
      <alignment vertical="center"/>
    </xf>
    <xf numFmtId="37" fontId="165" fillId="0" borderId="32" xfId="5" applyNumberFormat="1" applyFont="1" applyFill="1" applyBorder="1" applyAlignment="1">
      <alignment horizontal="center" vertical="center" wrapText="1"/>
    </xf>
    <xf numFmtId="171" fontId="165" fillId="0" borderId="26" xfId="5" applyNumberFormat="1" applyFont="1" applyFill="1" applyBorder="1" applyAlignment="1">
      <alignment horizontal="center" vertical="center" wrapText="1"/>
    </xf>
    <xf numFmtId="171" fontId="165" fillId="0" borderId="26" xfId="5" applyNumberFormat="1" applyFont="1" applyFill="1" applyBorder="1" applyAlignment="1">
      <alignment horizontal="center" vertical="center" textRotation="90" wrapText="1"/>
    </xf>
    <xf numFmtId="171" fontId="165" fillId="0" borderId="26" xfId="5" applyNumberFormat="1" applyFont="1" applyFill="1" applyBorder="1" applyAlignment="1">
      <alignment horizontal="left" vertical="center" wrapText="1"/>
    </xf>
    <xf numFmtId="43" fontId="172" fillId="0" borderId="21" xfId="5" applyFont="1" applyFill="1" applyBorder="1" applyAlignment="1">
      <alignment horizontal="center" vertical="center" wrapText="1"/>
    </xf>
    <xf numFmtId="177" fontId="165" fillId="0" borderId="43" xfId="86" applyNumberFormat="1" applyFont="1" applyFill="1" applyBorder="1" applyAlignment="1">
      <alignment horizontal="center" vertical="center"/>
    </xf>
    <xf numFmtId="177" fontId="173" fillId="0" borderId="0" xfId="86" applyNumberFormat="1" applyFont="1" applyFill="1" applyAlignment="1">
      <alignment vertical="center"/>
    </xf>
    <xf numFmtId="169" fontId="173" fillId="0" borderId="0" xfId="86" applyNumberFormat="1" applyFont="1" applyFill="1" applyAlignment="1">
      <alignment vertical="center"/>
    </xf>
    <xf numFmtId="169" fontId="173" fillId="0" borderId="0" xfId="7" applyNumberFormat="1" applyFont="1" applyFill="1" applyAlignment="1">
      <alignment vertical="center"/>
    </xf>
    <xf numFmtId="0" fontId="173" fillId="0" borderId="0" xfId="7" applyFont="1" applyFill="1" applyAlignment="1">
      <alignment vertical="center"/>
    </xf>
    <xf numFmtId="171" fontId="173" fillId="0" borderId="0" xfId="7" applyNumberFormat="1" applyFont="1" applyFill="1" applyAlignment="1">
      <alignment vertical="center"/>
    </xf>
    <xf numFmtId="37" fontId="165" fillId="0" borderId="27" xfId="5" applyNumberFormat="1" applyFont="1" applyFill="1" applyBorder="1" applyAlignment="1">
      <alignment horizontal="center" vertical="center" wrapText="1"/>
    </xf>
    <xf numFmtId="171" fontId="165" fillId="0" borderId="21" xfId="5" applyNumberFormat="1" applyFont="1" applyFill="1" applyBorder="1" applyAlignment="1">
      <alignment horizontal="center" vertical="center" wrapText="1"/>
    </xf>
    <xf numFmtId="171" fontId="165" fillId="0" borderId="21" xfId="5" applyNumberFormat="1" applyFont="1" applyFill="1" applyBorder="1" applyAlignment="1">
      <alignment horizontal="center" vertical="center" textRotation="90" wrapText="1"/>
    </xf>
    <xf numFmtId="171" fontId="165" fillId="0" borderId="21" xfId="5" applyNumberFormat="1" applyFont="1" applyFill="1" applyBorder="1" applyAlignment="1">
      <alignment horizontal="left" vertical="center" wrapText="1"/>
    </xf>
    <xf numFmtId="177" fontId="165" fillId="0" borderId="36" xfId="86" applyNumberFormat="1" applyFont="1" applyFill="1" applyBorder="1" applyAlignment="1">
      <alignment horizontal="center" vertical="center"/>
    </xf>
    <xf numFmtId="171" fontId="165" fillId="0" borderId="21" xfId="12" applyNumberFormat="1" applyFont="1" applyFill="1" applyBorder="1" applyAlignment="1">
      <alignment horizontal="left" vertical="center"/>
    </xf>
    <xf numFmtId="171" fontId="165" fillId="0" borderId="16" xfId="12" applyNumberFormat="1" applyFont="1" applyFill="1" applyBorder="1" applyAlignment="1">
      <alignment horizontal="left" vertical="center"/>
    </xf>
    <xf numFmtId="171" fontId="165" fillId="0" borderId="25" xfId="5" applyNumberFormat="1" applyFont="1" applyFill="1" applyBorder="1" applyAlignment="1">
      <alignment horizontal="center" vertical="center" wrapText="1"/>
    </xf>
    <xf numFmtId="171" fontId="165" fillId="0" borderId="25" xfId="5" applyNumberFormat="1" applyFont="1" applyFill="1" applyBorder="1" applyAlignment="1">
      <alignment horizontal="center" vertical="center" textRotation="90" wrapText="1"/>
    </xf>
    <xf numFmtId="171" fontId="165" fillId="0" borderId="25" xfId="12" applyNumberFormat="1" applyFont="1" applyFill="1" applyBorder="1" applyAlignment="1">
      <alignment horizontal="left" vertical="center"/>
    </xf>
    <xf numFmtId="177" fontId="165" fillId="0" borderId="42" xfId="86" applyNumberFormat="1" applyFont="1" applyFill="1" applyBorder="1" applyAlignment="1">
      <alignment horizontal="center" vertical="center"/>
    </xf>
    <xf numFmtId="173" fontId="165" fillId="0" borderId="30" xfId="5" applyNumberFormat="1" applyFont="1" applyFill="1" applyBorder="1" applyAlignment="1">
      <alignment horizontal="right" vertical="center"/>
    </xf>
    <xf numFmtId="171" fontId="175" fillId="0" borderId="0" xfId="5" applyNumberFormat="1" applyFont="1" applyFill="1" applyBorder="1" applyAlignment="1">
      <alignment horizontal="center" vertical="center" wrapText="1"/>
    </xf>
    <xf numFmtId="171" fontId="175" fillId="0" borderId="0" xfId="5" applyNumberFormat="1" applyFont="1" applyFill="1" applyBorder="1" applyAlignment="1">
      <alignment horizontal="right" vertical="center"/>
    </xf>
    <xf numFmtId="171" fontId="167" fillId="0" borderId="0" xfId="5" applyNumberFormat="1" applyFont="1" applyFill="1" applyBorder="1" applyAlignment="1">
      <alignment horizontal="left" vertical="center"/>
    </xf>
    <xf numFmtId="0" fontId="175" fillId="0" borderId="0" xfId="7" applyFont="1" applyFill="1" applyAlignment="1">
      <alignment vertical="center"/>
    </xf>
    <xf numFmtId="41" fontId="172" fillId="0" borderId="0" xfId="13" applyFont="1" applyFill="1" applyAlignment="1">
      <alignment vertical="center"/>
    </xf>
    <xf numFmtId="171" fontId="176" fillId="0" borderId="0" xfId="5" applyNumberFormat="1" applyFont="1" applyFill="1" applyBorder="1" applyAlignment="1">
      <alignment horizontal="center" vertical="center" wrapText="1"/>
    </xf>
    <xf numFmtId="177" fontId="175" fillId="0" borderId="0" xfId="86" applyNumberFormat="1" applyFont="1" applyFill="1" applyAlignment="1">
      <alignment vertical="center"/>
    </xf>
    <xf numFmtId="177" fontId="175" fillId="0" borderId="0" xfId="7" applyNumberFormat="1" applyFont="1" applyFill="1" applyAlignment="1">
      <alignment vertical="center"/>
    </xf>
    <xf numFmtId="0" fontId="166" fillId="0" borderId="0" xfId="7" applyFont="1" applyFill="1" applyAlignment="1">
      <alignment horizontal="left" vertical="center"/>
    </xf>
    <xf numFmtId="0" fontId="166" fillId="0" borderId="0" xfId="7" applyFont="1" applyFill="1" applyAlignment="1">
      <alignment vertical="center"/>
    </xf>
    <xf numFmtId="171" fontId="166" fillId="0" borderId="0" xfId="5" applyNumberFormat="1" applyFont="1" applyFill="1" applyBorder="1" applyAlignment="1">
      <alignment horizontal="right" vertical="center"/>
    </xf>
    <xf numFmtId="0" fontId="177" fillId="0" borderId="0" xfId="7" applyFont="1" applyFill="1" applyAlignment="1">
      <alignment vertical="center"/>
    </xf>
    <xf numFmtId="173" fontId="166" fillId="0" borderId="0" xfId="7" applyNumberFormat="1" applyFont="1" applyFill="1" applyAlignment="1">
      <alignment vertical="center"/>
    </xf>
    <xf numFmtId="173" fontId="178" fillId="0" borderId="0" xfId="7" applyNumberFormat="1" applyFont="1" applyFill="1" applyAlignment="1">
      <alignment vertical="center"/>
    </xf>
    <xf numFmtId="171" fontId="173" fillId="0" borderId="0" xfId="7" applyNumberFormat="1" applyFont="1" applyFill="1" applyAlignment="1">
      <alignment horizontal="center" vertical="center"/>
    </xf>
    <xf numFmtId="173" fontId="179" fillId="0" borderId="0" xfId="7" applyNumberFormat="1" applyFont="1" applyFill="1" applyAlignment="1">
      <alignment vertical="center"/>
    </xf>
    <xf numFmtId="0" fontId="179" fillId="0" borderId="0" xfId="7" applyFont="1" applyFill="1" applyAlignment="1">
      <alignment vertical="center"/>
    </xf>
    <xf numFmtId="173" fontId="166" fillId="0" borderId="0" xfId="7" applyNumberFormat="1" applyFont="1" applyFill="1" applyAlignment="1">
      <alignment horizontal="center" vertical="center"/>
    </xf>
    <xf numFmtId="177" fontId="177" fillId="0" borderId="0" xfId="86" applyNumberFormat="1" applyFont="1" applyFill="1" applyAlignment="1">
      <alignment vertical="center"/>
    </xf>
    <xf numFmtId="173" fontId="177" fillId="0" borderId="0" xfId="7" applyNumberFormat="1" applyFont="1" applyFill="1" applyAlignment="1">
      <alignment vertical="center"/>
    </xf>
    <xf numFmtId="171" fontId="173" fillId="0" borderId="0" xfId="10" applyNumberFormat="1" applyFont="1" applyFill="1" applyBorder="1" applyAlignment="1">
      <alignment horizontal="left" vertical="center"/>
    </xf>
    <xf numFmtId="0" fontId="165" fillId="0" borderId="0" xfId="7" applyFont="1" applyFill="1" applyAlignment="1">
      <alignment horizontal="left" vertical="center"/>
    </xf>
    <xf numFmtId="171" fontId="165" fillId="0" borderId="0" xfId="5" applyNumberFormat="1" applyFont="1" applyFill="1" applyBorder="1" applyAlignment="1">
      <alignment horizontal="right" vertical="center"/>
    </xf>
    <xf numFmtId="0" fontId="174" fillId="0" borderId="0" xfId="7" applyFont="1" applyFill="1" applyAlignment="1">
      <alignment vertical="center"/>
    </xf>
    <xf numFmtId="171" fontId="174" fillId="0" borderId="0" xfId="7" applyNumberFormat="1" applyFont="1" applyFill="1" applyAlignment="1">
      <alignment vertical="center"/>
    </xf>
    <xf numFmtId="171" fontId="168" fillId="0" borderId="0" xfId="5" applyNumberFormat="1" applyFont="1" applyFill="1" applyBorder="1" applyAlignment="1">
      <alignment horizontal="right" vertical="center"/>
    </xf>
    <xf numFmtId="171" fontId="165" fillId="0" borderId="0" xfId="5" applyNumberFormat="1" applyFont="1" applyFill="1" applyBorder="1" applyAlignment="1">
      <alignment horizontal="center" vertical="center" wrapText="1"/>
    </xf>
    <xf numFmtId="171" fontId="180" fillId="0" borderId="0" xfId="5" applyNumberFormat="1" applyFont="1" applyFill="1" applyBorder="1" applyAlignment="1">
      <alignment horizontal="right" vertical="center"/>
    </xf>
    <xf numFmtId="173" fontId="180" fillId="0" borderId="0" xfId="7" applyNumberFormat="1" applyFont="1" applyFill="1" applyAlignment="1">
      <alignment vertical="center"/>
    </xf>
    <xf numFmtId="173" fontId="165" fillId="0" borderId="0" xfId="7" applyNumberFormat="1" applyFont="1" applyFill="1" applyAlignment="1">
      <alignment vertical="center"/>
    </xf>
    <xf numFmtId="173" fontId="165" fillId="0" borderId="0" xfId="7" applyNumberFormat="1" applyFont="1" applyFill="1" applyAlignment="1">
      <alignment horizontal="center" vertical="center"/>
    </xf>
    <xf numFmtId="177" fontId="174" fillId="0" borderId="0" xfId="86" applyNumberFormat="1" applyFont="1" applyFill="1" applyAlignment="1">
      <alignment vertical="center"/>
    </xf>
    <xf numFmtId="177" fontId="174" fillId="0" borderId="0" xfId="7" applyNumberFormat="1" applyFont="1" applyFill="1" applyAlignment="1">
      <alignment vertical="center"/>
    </xf>
    <xf numFmtId="171" fontId="172" fillId="0" borderId="0" xfId="7" applyNumberFormat="1" applyFont="1" applyFill="1" applyAlignment="1">
      <alignment vertical="center"/>
    </xf>
    <xf numFmtId="0" fontId="180" fillId="0" borderId="0" xfId="7" applyFont="1" applyFill="1" applyAlignment="1">
      <alignment vertical="center"/>
    </xf>
    <xf numFmtId="43" fontId="165" fillId="0" borderId="0" xfId="7" applyNumberFormat="1" applyFont="1" applyFill="1" applyAlignment="1">
      <alignment vertical="center"/>
    </xf>
    <xf numFmtId="171" fontId="181" fillId="0" borderId="0" xfId="7" applyNumberFormat="1" applyFont="1" applyFill="1" applyAlignment="1">
      <alignment vertical="center"/>
    </xf>
    <xf numFmtId="173" fontId="166" fillId="0" borderId="0" xfId="5" applyNumberFormat="1" applyFont="1" applyFill="1" applyBorder="1" applyAlignment="1">
      <alignment horizontal="right" vertical="center"/>
    </xf>
    <xf numFmtId="171" fontId="166" fillId="0" borderId="0" xfId="5" applyNumberFormat="1" applyFont="1" applyFill="1" applyBorder="1" applyAlignment="1">
      <alignment vertical="center"/>
    </xf>
    <xf numFmtId="171" fontId="177" fillId="0" borderId="0" xfId="5" applyNumberFormat="1" applyFont="1" applyFill="1" applyBorder="1" applyAlignment="1">
      <alignment vertical="center"/>
    </xf>
    <xf numFmtId="174" fontId="166" fillId="0" borderId="0" xfId="5" applyNumberFormat="1" applyFont="1" applyFill="1" applyBorder="1" applyAlignment="1">
      <alignment vertical="center"/>
    </xf>
    <xf numFmtId="171" fontId="173" fillId="0" borderId="0" xfId="5" applyNumberFormat="1" applyFont="1" applyFill="1" applyBorder="1" applyAlignment="1">
      <alignment vertical="center"/>
    </xf>
    <xf numFmtId="0" fontId="164" fillId="0" borderId="0" xfId="7" applyFont="1" applyFill="1" applyAlignment="1">
      <alignment vertical="center"/>
    </xf>
    <xf numFmtId="174" fontId="166" fillId="0" borderId="0" xfId="5" applyNumberFormat="1" applyFont="1" applyFill="1" applyBorder="1" applyAlignment="1">
      <alignment horizontal="center" vertical="center"/>
    </xf>
    <xf numFmtId="2" fontId="168" fillId="0" borderId="0" xfId="7" applyNumberFormat="1" applyFont="1" applyFill="1" applyAlignment="1">
      <alignment vertical="center"/>
    </xf>
    <xf numFmtId="173" fontId="165" fillId="0" borderId="35" xfId="5" applyNumberFormat="1" applyFont="1" applyFill="1" applyBorder="1" applyAlignment="1">
      <alignment horizontal="right" vertical="center"/>
    </xf>
    <xf numFmtId="177" fontId="165" fillId="0" borderId="0" xfId="7" applyNumberFormat="1" applyFont="1" applyFill="1" applyAlignment="1">
      <alignment vertical="center"/>
    </xf>
    <xf numFmtId="169" fontId="168" fillId="0" borderId="0" xfId="7" applyNumberFormat="1" applyFont="1" applyFill="1" applyAlignment="1">
      <alignment vertical="center"/>
    </xf>
    <xf numFmtId="49" fontId="188" fillId="0" borderId="26" xfId="5" applyNumberFormat="1" applyFont="1" applyFill="1" applyBorder="1" applyAlignment="1">
      <alignment horizontal="center" vertical="center"/>
    </xf>
    <xf numFmtId="49" fontId="188" fillId="0" borderId="83" xfId="5" applyNumberFormat="1" applyFont="1" applyFill="1" applyBorder="1" applyAlignment="1">
      <alignment horizontal="center" vertical="center" wrapText="1"/>
    </xf>
    <xf numFmtId="49" fontId="188" fillId="0" borderId="83" xfId="5" applyNumberFormat="1" applyFont="1" applyFill="1" applyBorder="1" applyAlignment="1">
      <alignment horizontal="center" vertical="center"/>
    </xf>
    <xf numFmtId="171" fontId="191" fillId="0" borderId="0" xfId="1505" applyNumberFormat="1" applyFont="1"/>
    <xf numFmtId="0" fontId="39" fillId="0" borderId="0" xfId="7" applyFont="1" applyFill="1" applyAlignment="1">
      <alignment vertical="center"/>
    </xf>
    <xf numFmtId="41" fontId="127" fillId="3" borderId="0" xfId="27" applyFont="1" applyFill="1" applyAlignment="1">
      <alignment horizontal="center" vertical="center"/>
    </xf>
    <xf numFmtId="171" fontId="192" fillId="0" borderId="2" xfId="5" applyNumberFormat="1" applyFont="1" applyFill="1" applyBorder="1" applyAlignment="1">
      <alignment horizontal="center" vertical="center" wrapText="1"/>
    </xf>
    <xf numFmtId="171" fontId="192" fillId="0" borderId="26" xfId="5" applyNumberFormat="1" applyFont="1" applyFill="1" applyBorder="1" applyAlignment="1">
      <alignment horizontal="center" vertical="center" wrapText="1"/>
    </xf>
    <xf numFmtId="177" fontId="192" fillId="0" borderId="2" xfId="86" applyNumberFormat="1" applyFont="1" applyFill="1" applyBorder="1" applyAlignment="1">
      <alignment horizontal="center" vertical="center"/>
    </xf>
    <xf numFmtId="171" fontId="192" fillId="0" borderId="21" xfId="5" applyNumberFormat="1" applyFont="1" applyFill="1" applyBorder="1" applyAlignment="1">
      <alignment horizontal="center" vertical="center" wrapText="1"/>
    </xf>
    <xf numFmtId="171" fontId="192" fillId="0" borderId="21" xfId="5" applyNumberFormat="1" applyFont="1" applyFill="1" applyBorder="1" applyAlignment="1">
      <alignment horizontal="center" vertical="center"/>
    </xf>
    <xf numFmtId="171" fontId="192" fillId="0" borderId="83" xfId="5" applyNumberFormat="1" applyFont="1" applyFill="1" applyBorder="1" applyAlignment="1">
      <alignment horizontal="center" vertical="center" wrapText="1"/>
    </xf>
    <xf numFmtId="177" fontId="192" fillId="0" borderId="21" xfId="86" applyNumberFormat="1" applyFont="1" applyFill="1" applyBorder="1" applyAlignment="1">
      <alignment horizontal="center" vertical="center"/>
    </xf>
    <xf numFmtId="171" fontId="192" fillId="0" borderId="11" xfId="5" applyNumberFormat="1" applyFont="1" applyFill="1" applyBorder="1" applyAlignment="1">
      <alignment horizontal="center" vertical="center" wrapText="1"/>
    </xf>
    <xf numFmtId="171" fontId="192" fillId="0" borderId="40" xfId="5" applyNumberFormat="1" applyFont="1" applyFill="1" applyBorder="1" applyAlignment="1">
      <alignment horizontal="center" vertical="center" wrapText="1"/>
    </xf>
    <xf numFmtId="171" fontId="192" fillId="0" borderId="23" xfId="5" applyNumberFormat="1" applyFont="1" applyFill="1" applyBorder="1" applyAlignment="1">
      <alignment horizontal="center" vertical="center" wrapText="1"/>
    </xf>
    <xf numFmtId="171" fontId="192" fillId="0" borderId="23" xfId="5" applyNumberFormat="1" applyFont="1" applyFill="1" applyBorder="1" applyAlignment="1">
      <alignment horizontal="center" vertical="center"/>
    </xf>
    <xf numFmtId="171" fontId="192" fillId="0" borderId="25" xfId="5" applyNumberFormat="1" applyFont="1" applyFill="1" applyBorder="1" applyAlignment="1">
      <alignment horizontal="center" vertical="center" wrapText="1"/>
    </xf>
    <xf numFmtId="171" fontId="192" fillId="0" borderId="25" xfId="5" applyNumberFormat="1" applyFont="1" applyFill="1" applyBorder="1" applyAlignment="1">
      <alignment horizontal="center" vertical="center"/>
    </xf>
    <xf numFmtId="177" fontId="192" fillId="0" borderId="23" xfId="86" applyNumberFormat="1" applyFont="1" applyFill="1" applyBorder="1" applyAlignment="1">
      <alignment horizontal="center" vertical="center"/>
    </xf>
    <xf numFmtId="0" fontId="185" fillId="0" borderId="0" xfId="1502" applyFont="1" applyFill="1" applyAlignment="1">
      <alignment vertical="center"/>
    </xf>
    <xf numFmtId="0" fontId="186" fillId="0" borderId="0" xfId="1502" applyFont="1" applyFill="1" applyAlignment="1">
      <alignment horizontal="center" vertical="center"/>
    </xf>
    <xf numFmtId="0" fontId="187" fillId="0" borderId="1" xfId="1502" applyFont="1" applyFill="1" applyBorder="1" applyAlignment="1">
      <alignment horizontal="center" vertical="center"/>
    </xf>
    <xf numFmtId="0" fontId="187" fillId="0" borderId="2" xfId="1502" applyFont="1" applyFill="1" applyBorder="1" applyAlignment="1">
      <alignment horizontal="center" vertical="center"/>
    </xf>
    <xf numFmtId="0" fontId="187" fillId="0" borderId="43" xfId="1502" applyFont="1" applyFill="1" applyBorder="1" applyAlignment="1">
      <alignment horizontal="center" vertical="center"/>
    </xf>
    <xf numFmtId="0" fontId="183" fillId="0" borderId="0" xfId="1502" applyFont="1" applyFill="1" applyAlignment="1">
      <alignment horizontal="center" vertical="center"/>
    </xf>
    <xf numFmtId="0" fontId="188" fillId="0" borderId="32" xfId="1502" applyFont="1" applyFill="1" applyBorder="1" applyAlignment="1">
      <alignment horizontal="center" vertical="center"/>
    </xf>
    <xf numFmtId="41" fontId="188" fillId="0" borderId="26" xfId="22" applyNumberFormat="1" applyFont="1" applyFill="1" applyBorder="1" applyAlignment="1">
      <alignment vertical="center"/>
    </xf>
    <xf numFmtId="41" fontId="183" fillId="0" borderId="26" xfId="22" applyNumberFormat="1" applyFont="1" applyFill="1" applyBorder="1" applyAlignment="1">
      <alignment horizontal="center" vertical="center"/>
    </xf>
    <xf numFmtId="171" fontId="188" fillId="0" borderId="33" xfId="3" applyNumberFormat="1" applyFont="1" applyFill="1" applyBorder="1" applyAlignment="1">
      <alignment horizontal="left" vertical="center" wrapText="1"/>
    </xf>
    <xf numFmtId="0" fontId="183" fillId="0" borderId="0" xfId="1502" applyFont="1" applyFill="1" applyAlignment="1">
      <alignment vertical="center"/>
    </xf>
    <xf numFmtId="0" fontId="188" fillId="0" borderId="100" xfId="1502" applyFont="1" applyFill="1" applyBorder="1" applyAlignment="1">
      <alignment horizontal="center" vertical="center"/>
    </xf>
    <xf numFmtId="41" fontId="188" fillId="0" borderId="83" xfId="22" applyNumberFormat="1" applyFont="1" applyFill="1" applyBorder="1" applyAlignment="1">
      <alignment vertical="center"/>
    </xf>
    <xf numFmtId="41" fontId="183" fillId="0" borderId="83" xfId="22" applyNumberFormat="1" applyFont="1" applyFill="1" applyBorder="1" applyAlignment="1">
      <alignment horizontal="center" vertical="center"/>
    </xf>
    <xf numFmtId="171" fontId="188" fillId="0" borderId="93" xfId="3" applyNumberFormat="1" applyFont="1" applyFill="1" applyBorder="1" applyAlignment="1">
      <alignment horizontal="left" vertical="center" wrapText="1"/>
    </xf>
    <xf numFmtId="0" fontId="188" fillId="0" borderId="83" xfId="1502" quotePrefix="1" applyFont="1" applyFill="1" applyBorder="1" applyAlignment="1">
      <alignment horizontal="center" vertical="center"/>
    </xf>
    <xf numFmtId="0" fontId="188" fillId="0" borderId="52" xfId="1502" applyFont="1" applyFill="1" applyBorder="1" applyAlignment="1">
      <alignment horizontal="center" vertical="center"/>
    </xf>
    <xf numFmtId="0" fontId="188" fillId="0" borderId="25" xfId="1502" quotePrefix="1" applyFont="1" applyFill="1" applyBorder="1" applyAlignment="1">
      <alignment horizontal="center" vertical="center"/>
    </xf>
    <xf numFmtId="41" fontId="188" fillId="0" borderId="25" xfId="22" applyNumberFormat="1" applyFont="1" applyFill="1" applyBorder="1" applyAlignment="1">
      <alignment vertical="center"/>
    </xf>
    <xf numFmtId="41" fontId="183" fillId="0" borderId="25" xfId="22" applyNumberFormat="1" applyFont="1" applyFill="1" applyBorder="1" applyAlignment="1">
      <alignment horizontal="center" vertical="center"/>
    </xf>
    <xf numFmtId="171" fontId="188" fillId="0" borderId="53" xfId="3" applyNumberFormat="1" applyFont="1" applyFill="1" applyBorder="1" applyAlignment="1">
      <alignment horizontal="left" vertical="center" wrapText="1"/>
    </xf>
    <xf numFmtId="171" fontId="187" fillId="0" borderId="96" xfId="1502" applyNumberFormat="1" applyFont="1" applyFill="1" applyBorder="1" applyAlignment="1">
      <alignment vertical="center"/>
    </xf>
    <xf numFmtId="0" fontId="183" fillId="0" borderId="96" xfId="1502" applyFont="1" applyFill="1" applyBorder="1" applyAlignment="1">
      <alignment horizontal="center" vertical="center"/>
    </xf>
    <xf numFmtId="0" fontId="183" fillId="0" borderId="101" xfId="1502" applyFont="1" applyFill="1" applyBorder="1" applyAlignment="1">
      <alignment vertical="center"/>
    </xf>
    <xf numFmtId="0" fontId="183" fillId="0" borderId="0" xfId="1502" applyFont="1" applyFill="1" applyBorder="1" applyAlignment="1">
      <alignment vertical="center"/>
    </xf>
    <xf numFmtId="0" fontId="183" fillId="0" borderId="8" xfId="1502" applyFont="1" applyFill="1" applyBorder="1" applyAlignment="1">
      <alignment vertical="center"/>
    </xf>
    <xf numFmtId="41" fontId="189" fillId="0" borderId="0" xfId="22" applyFont="1" applyFill="1" applyBorder="1" applyAlignment="1">
      <alignment vertical="center"/>
    </xf>
    <xf numFmtId="0" fontId="183" fillId="0" borderId="8" xfId="1502" applyFont="1" applyFill="1" applyBorder="1" applyAlignment="1">
      <alignment horizontal="center" vertical="center"/>
    </xf>
    <xf numFmtId="0" fontId="183" fillId="0" borderId="0" xfId="1502" applyFont="1" applyFill="1" applyBorder="1" applyAlignment="1">
      <alignment horizontal="center" vertical="center"/>
    </xf>
    <xf numFmtId="41" fontId="183" fillId="0" borderId="0" xfId="22" applyFont="1" applyFill="1" applyBorder="1" applyAlignment="1">
      <alignment horizontal="center" vertical="center"/>
    </xf>
    <xf numFmtId="0" fontId="190" fillId="0" borderId="0" xfId="1502" applyFont="1" applyFill="1" applyAlignment="1">
      <alignment horizontal="center" vertical="center"/>
    </xf>
    <xf numFmtId="0" fontId="183" fillId="0" borderId="0" xfId="1502" applyFont="1" applyFill="1" applyAlignment="1">
      <alignment horizontal="center"/>
    </xf>
    <xf numFmtId="0" fontId="183" fillId="0" borderId="0" xfId="1502" applyFont="1" applyFill="1" applyAlignment="1"/>
    <xf numFmtId="177" fontId="192" fillId="0" borderId="83" xfId="86" applyNumberFormat="1" applyFont="1" applyFill="1" applyBorder="1" applyAlignment="1">
      <alignment horizontal="center" vertical="center"/>
    </xf>
    <xf numFmtId="177" fontId="165" fillId="0" borderId="93" xfId="86" applyNumberFormat="1" applyFont="1" applyFill="1" applyBorder="1" applyAlignment="1">
      <alignment horizontal="center" vertical="center"/>
    </xf>
    <xf numFmtId="41" fontId="24" fillId="0" borderId="37" xfId="27" applyFont="1" applyFill="1" applyBorder="1" applyAlignment="1">
      <alignment horizontal="center" vertical="center"/>
    </xf>
    <xf numFmtId="41" fontId="5" fillId="0" borderId="32" xfId="27" applyFont="1" applyFill="1" applyBorder="1" applyAlignment="1">
      <alignment horizontal="center" vertical="center"/>
    </xf>
    <xf numFmtId="41" fontId="5" fillId="0" borderId="52" xfId="27" applyFont="1" applyFill="1" applyBorder="1" applyAlignment="1">
      <alignment horizontal="center" vertical="center"/>
    </xf>
    <xf numFmtId="41" fontId="125" fillId="0" borderId="28" xfId="27" applyFont="1" applyFill="1" applyBorder="1" applyAlignment="1">
      <alignment horizontal="center" vertical="center"/>
    </xf>
    <xf numFmtId="174" fontId="0" fillId="0" borderId="0" xfId="1505" applyNumberFormat="1" applyFont="1"/>
    <xf numFmtId="174" fontId="125" fillId="46" borderId="38" xfId="1505" applyNumberFormat="1" applyFont="1" applyFill="1" applyBorder="1" applyAlignment="1">
      <alignment horizontal="center"/>
    </xf>
    <xf numFmtId="174" fontId="125" fillId="0" borderId="30" xfId="1504" applyNumberFormat="1" applyFont="1" applyBorder="1" applyAlignment="1">
      <alignment horizontal="center"/>
    </xf>
    <xf numFmtId="174" fontId="125" fillId="46" borderId="96" xfId="1504" applyNumberFormat="1" applyFont="1" applyFill="1" applyBorder="1" applyAlignment="1">
      <alignment horizontal="center"/>
    </xf>
    <xf numFmtId="174" fontId="158" fillId="0" borderId="0" xfId="1505" applyNumberFormat="1" applyFont="1"/>
    <xf numFmtId="174" fontId="159" fillId="0" borderId="0" xfId="7" applyNumberFormat="1" applyFont="1" applyFill="1" applyAlignment="1">
      <alignment horizontal="center" vertical="center"/>
    </xf>
    <xf numFmtId="174" fontId="161" fillId="0" borderId="0" xfId="7" applyNumberFormat="1" applyFont="1" applyFill="1" applyAlignment="1">
      <alignment vertical="center"/>
    </xf>
    <xf numFmtId="174" fontId="136" fillId="0" borderId="0" xfId="5" applyNumberFormat="1" applyFont="1" applyFill="1" applyBorder="1" applyAlignment="1">
      <alignment horizontal="center" vertical="center"/>
    </xf>
    <xf numFmtId="174" fontId="161" fillId="0" borderId="0" xfId="7" applyNumberFormat="1" applyFont="1" applyFill="1" applyAlignment="1">
      <alignment horizontal="center" vertical="center"/>
    </xf>
    <xf numFmtId="174" fontId="163" fillId="0" borderId="0" xfId="1505" applyNumberFormat="1" applyFont="1"/>
    <xf numFmtId="169" fontId="3" fillId="0" borderId="40" xfId="86" applyNumberFormat="1" applyFont="1" applyBorder="1" applyAlignment="1">
      <alignment horizontal="center"/>
    </xf>
    <xf numFmtId="41" fontId="23" fillId="0" borderId="13" xfId="27" applyFont="1" applyFill="1" applyBorder="1" applyAlignment="1">
      <alignment horizontal="center" vertical="center"/>
    </xf>
    <xf numFmtId="41" fontId="23" fillId="0" borderId="50" xfId="27" applyFont="1" applyFill="1" applyBorder="1" applyAlignment="1">
      <alignment horizontal="center" vertical="center"/>
    </xf>
    <xf numFmtId="0" fontId="24" fillId="0" borderId="49" xfId="7" applyFont="1" applyFill="1" applyBorder="1" applyAlignment="1">
      <alignment horizontal="center" vertical="center"/>
    </xf>
    <xf numFmtId="41" fontId="125" fillId="0" borderId="57" xfId="27" applyFont="1" applyFill="1" applyBorder="1" applyAlignment="1">
      <alignment horizontal="center" vertical="center"/>
    </xf>
    <xf numFmtId="41" fontId="1" fillId="0" borderId="26" xfId="27" applyFont="1" applyFill="1" applyBorder="1" applyAlignment="1">
      <alignment horizontal="center" vertical="center"/>
    </xf>
    <xf numFmtId="41" fontId="125" fillId="3" borderId="29" xfId="27" applyFont="1" applyFill="1" applyBorder="1" applyAlignment="1">
      <alignment horizontal="center" vertical="center"/>
    </xf>
    <xf numFmtId="0" fontId="22" fillId="0" borderId="25" xfId="7" applyFont="1" applyFill="1" applyBorder="1" applyAlignment="1">
      <alignment horizontal="center" vertical="center"/>
    </xf>
    <xf numFmtId="41" fontId="125" fillId="0" borderId="23" xfId="27" applyFont="1" applyFill="1" applyBorder="1" applyAlignment="1">
      <alignment horizontal="center" vertical="center"/>
    </xf>
    <xf numFmtId="0" fontId="165" fillId="0" borderId="0" xfId="7" applyFont="1" applyFill="1" applyAlignment="1">
      <alignment horizontal="center" vertical="center"/>
    </xf>
    <xf numFmtId="0" fontId="166" fillId="0" borderId="0" xfId="7" applyFont="1" applyFill="1" applyAlignment="1">
      <alignment horizontal="center" vertical="center"/>
    </xf>
    <xf numFmtId="0" fontId="171" fillId="0" borderId="2" xfId="7" applyFont="1" applyFill="1" applyBorder="1" applyAlignment="1">
      <alignment horizontal="center" vertical="center"/>
    </xf>
    <xf numFmtId="0" fontId="171" fillId="0" borderId="11" xfId="7" applyFont="1" applyFill="1" applyBorder="1" applyAlignment="1">
      <alignment horizontal="center" vertical="center"/>
    </xf>
    <xf numFmtId="0" fontId="171" fillId="0" borderId="23" xfId="7" applyFont="1" applyFill="1" applyBorder="1" applyAlignment="1">
      <alignment horizontal="center" vertical="center"/>
    </xf>
    <xf numFmtId="0" fontId="171" fillId="0" borderId="3" xfId="7" applyFont="1" applyFill="1" applyBorder="1" applyAlignment="1">
      <alignment horizontal="center" vertical="center"/>
    </xf>
    <xf numFmtId="174" fontId="125" fillId="0" borderId="40" xfId="1505" applyNumberFormat="1" applyFont="1" applyFill="1" applyBorder="1" applyAlignment="1">
      <alignment horizontal="center"/>
    </xf>
    <xf numFmtId="174" fontId="125" fillId="0" borderId="83" xfId="1505" applyNumberFormat="1" applyFont="1" applyFill="1" applyBorder="1" applyAlignment="1">
      <alignment horizontal="center"/>
    </xf>
    <xf numFmtId="0" fontId="116" fillId="47" borderId="70" xfId="0" applyFont="1" applyFill="1" applyBorder="1" applyAlignment="1">
      <alignment vertical="center"/>
    </xf>
    <xf numFmtId="171" fontId="192" fillId="47" borderId="26" xfId="5" applyNumberFormat="1" applyFont="1" applyFill="1" applyBorder="1" applyAlignment="1">
      <alignment horizontal="center" vertical="center" wrapText="1"/>
    </xf>
    <xf numFmtId="171" fontId="192" fillId="47" borderId="21" xfId="5" applyNumberFormat="1" applyFont="1" applyFill="1" applyBorder="1" applyAlignment="1">
      <alignment horizontal="center" vertical="center" wrapText="1"/>
    </xf>
    <xf numFmtId="171" fontId="192" fillId="47" borderId="25" xfId="5" applyNumberFormat="1" applyFont="1" applyFill="1" applyBorder="1" applyAlignment="1">
      <alignment horizontal="center" vertical="center" wrapText="1"/>
    </xf>
    <xf numFmtId="171" fontId="192" fillId="47" borderId="83" xfId="5" applyNumberFormat="1" applyFont="1" applyFill="1" applyBorder="1" applyAlignment="1">
      <alignment horizontal="center" vertical="center" wrapText="1"/>
    </xf>
    <xf numFmtId="41" fontId="131" fillId="0" borderId="2" xfId="27" applyFont="1" applyFill="1" applyBorder="1" applyAlignment="1">
      <alignment horizontal="center" vertical="center"/>
    </xf>
    <xf numFmtId="41" fontId="131" fillId="3" borderId="26" xfId="27" applyFont="1" applyFill="1" applyBorder="1" applyAlignment="1">
      <alignment horizontal="center" vertical="center"/>
    </xf>
    <xf numFmtId="41" fontId="131" fillId="0" borderId="26" xfId="27" applyFont="1" applyFill="1" applyBorder="1" applyAlignment="1">
      <alignment horizontal="center" vertical="center"/>
    </xf>
    <xf numFmtId="41" fontId="131" fillId="0" borderId="25" xfId="27" applyFont="1" applyFill="1" applyBorder="1" applyAlignment="1">
      <alignment horizontal="center" vertical="center"/>
    </xf>
    <xf numFmtId="41" fontId="131" fillId="3" borderId="25" xfId="27" applyFont="1" applyFill="1" applyBorder="1" applyAlignment="1">
      <alignment horizontal="center" vertical="center"/>
    </xf>
    <xf numFmtId="41" fontId="134" fillId="0" borderId="30" xfId="27" applyFont="1" applyFill="1" applyBorder="1" applyAlignment="1">
      <alignment horizontal="center" vertical="center"/>
    </xf>
    <xf numFmtId="41" fontId="134" fillId="3" borderId="30" xfId="27" applyFont="1" applyFill="1" applyBorder="1" applyAlignment="1">
      <alignment horizontal="center" vertical="center"/>
    </xf>
    <xf numFmtId="0" fontId="22" fillId="0" borderId="43" xfId="7" applyFont="1" applyFill="1" applyBorder="1" applyAlignment="1">
      <alignment horizontal="center" vertical="center"/>
    </xf>
    <xf numFmtId="0" fontId="22" fillId="0" borderId="42" xfId="7" applyFont="1" applyFill="1" applyBorder="1" applyAlignment="1">
      <alignment horizontal="center" vertical="center"/>
    </xf>
    <xf numFmtId="0" fontId="22" fillId="0" borderId="6" xfId="7" applyFont="1" applyFill="1" applyBorder="1" applyAlignment="1">
      <alignment horizontal="center" vertical="center"/>
    </xf>
    <xf numFmtId="0" fontId="22" fillId="0" borderId="26" xfId="7" applyFont="1" applyFill="1" applyBorder="1" applyAlignment="1">
      <alignment horizontal="center" vertical="center"/>
    </xf>
    <xf numFmtId="0" fontId="22" fillId="0" borderId="2" xfId="7" applyFont="1" applyFill="1" applyBorder="1" applyAlignment="1">
      <alignment horizontal="center" vertical="center"/>
    </xf>
    <xf numFmtId="0" fontId="22" fillId="0" borderId="23" xfId="7" applyFont="1" applyFill="1" applyBorder="1" applyAlignment="1">
      <alignment horizontal="center" vertical="center"/>
    </xf>
    <xf numFmtId="0" fontId="21" fillId="0" borderId="0" xfId="7" applyFont="1" applyFill="1" applyAlignment="1">
      <alignment horizontal="left" vertical="center"/>
    </xf>
    <xf numFmtId="0" fontId="22" fillId="0" borderId="60" xfId="7" applyFont="1" applyFill="1" applyBorder="1" applyAlignment="1">
      <alignment horizontal="left" vertical="center"/>
    </xf>
    <xf numFmtId="0" fontId="22" fillId="0" borderId="32" xfId="7" applyFont="1" applyFill="1" applyBorder="1" applyAlignment="1">
      <alignment horizontal="center" vertical="center" wrapText="1"/>
    </xf>
    <xf numFmtId="0" fontId="22" fillId="0" borderId="52" xfId="7" applyFont="1" applyFill="1" applyBorder="1" applyAlignment="1">
      <alignment horizontal="center" vertical="center" wrapText="1"/>
    </xf>
    <xf numFmtId="0" fontId="22" fillId="0" borderId="25" xfId="7" applyFont="1" applyFill="1" applyBorder="1" applyAlignment="1">
      <alignment horizontal="center" vertical="center"/>
    </xf>
    <xf numFmtId="0" fontId="22" fillId="0" borderId="4" xfId="7" applyFont="1" applyFill="1" applyBorder="1" applyAlignment="1">
      <alignment horizontal="center" vertical="center"/>
    </xf>
    <xf numFmtId="0" fontId="22" fillId="0" borderId="61" xfId="7" applyFont="1" applyFill="1" applyBorder="1" applyAlignment="1">
      <alignment horizontal="center" vertical="center" wrapText="1"/>
    </xf>
    <xf numFmtId="0" fontId="22" fillId="0" borderId="63" xfId="7" applyFont="1" applyFill="1" applyBorder="1" applyAlignment="1">
      <alignment horizontal="center" vertical="center"/>
    </xf>
    <xf numFmtId="41" fontId="5" fillId="0" borderId="58" xfId="27" applyFont="1" applyFill="1" applyBorder="1" applyAlignment="1">
      <alignment horizontal="center" vertical="center"/>
    </xf>
    <xf numFmtId="41" fontId="5" fillId="0" borderId="51" xfId="27" applyFont="1" applyFill="1" applyBorder="1" applyAlignment="1">
      <alignment horizontal="center" vertical="center"/>
    </xf>
    <xf numFmtId="41" fontId="125" fillId="0" borderId="1" xfId="27" applyFont="1" applyFill="1" applyBorder="1" applyAlignment="1">
      <alignment horizontal="center" vertical="center"/>
    </xf>
    <xf numFmtId="41" fontId="125" fillId="0" borderId="22" xfId="27" applyFont="1" applyFill="1" applyBorder="1" applyAlignment="1">
      <alignment horizontal="center" vertical="center"/>
    </xf>
    <xf numFmtId="41" fontId="125" fillId="0" borderId="2" xfId="27" applyFont="1" applyFill="1" applyBorder="1" applyAlignment="1">
      <alignment horizontal="center" vertical="center"/>
    </xf>
    <xf numFmtId="41" fontId="125" fillId="0" borderId="23" xfId="27" applyFont="1" applyFill="1" applyBorder="1" applyAlignment="1">
      <alignment horizontal="center" vertical="center"/>
    </xf>
    <xf numFmtId="41" fontId="125" fillId="0" borderId="26" xfId="27" applyFont="1" applyFill="1" applyBorder="1" applyAlignment="1">
      <alignment horizontal="center" vertical="center"/>
    </xf>
    <xf numFmtId="41" fontId="125" fillId="0" borderId="40" xfId="27" applyFont="1" applyFill="1" applyBorder="1" applyAlignment="1">
      <alignment horizontal="center" vertical="center"/>
    </xf>
    <xf numFmtId="41" fontId="125" fillId="0" borderId="17" xfId="27" applyFont="1" applyFill="1" applyBorder="1" applyAlignment="1">
      <alignment horizontal="center" vertical="center"/>
    </xf>
    <xf numFmtId="172" fontId="125" fillId="0" borderId="43" xfId="27" applyNumberFormat="1" applyFont="1" applyFill="1" applyBorder="1" applyAlignment="1">
      <alignment horizontal="center" vertical="center"/>
    </xf>
    <xf numFmtId="172" fontId="125" fillId="0" borderId="42" xfId="27" applyNumberFormat="1" applyFont="1" applyFill="1" applyBorder="1" applyAlignment="1">
      <alignment horizontal="center" vertical="center"/>
    </xf>
    <xf numFmtId="172" fontId="129" fillId="0" borderId="40" xfId="27" applyNumberFormat="1" applyFont="1" applyFill="1" applyBorder="1" applyAlignment="1">
      <alignment horizontal="center" vertical="center"/>
    </xf>
    <xf numFmtId="172" fontId="129" fillId="0" borderId="25" xfId="27" applyNumberFormat="1" applyFont="1" applyFill="1" applyBorder="1" applyAlignment="1">
      <alignment horizontal="center" vertical="center"/>
    </xf>
    <xf numFmtId="171" fontId="166" fillId="0" borderId="0" xfId="5" applyNumberFormat="1" applyFont="1" applyFill="1" applyBorder="1" applyAlignment="1">
      <alignment horizontal="center" vertical="center"/>
    </xf>
    <xf numFmtId="0" fontId="174" fillId="0" borderId="0" xfId="7" applyFont="1" applyFill="1" applyAlignment="1">
      <alignment horizontal="center" vertical="center"/>
    </xf>
    <xf numFmtId="0" fontId="165" fillId="0" borderId="0" xfId="7" applyFont="1" applyFill="1" applyAlignment="1">
      <alignment horizontal="center" vertical="center"/>
    </xf>
    <xf numFmtId="171" fontId="167" fillId="0" borderId="0" xfId="5" applyNumberFormat="1" applyFont="1" applyFill="1" applyBorder="1" applyAlignment="1">
      <alignment horizontal="center" vertical="center"/>
    </xf>
    <xf numFmtId="0" fontId="166" fillId="0" borderId="0" xfId="7" applyFont="1" applyFill="1" applyAlignment="1">
      <alignment horizontal="center" vertical="center"/>
    </xf>
    <xf numFmtId="0" fontId="182" fillId="0" borderId="0" xfId="7" applyFont="1" applyFill="1" applyAlignment="1">
      <alignment horizontal="center" vertical="center"/>
    </xf>
    <xf numFmtId="171" fontId="164" fillId="0" borderId="0" xfId="5" applyNumberFormat="1" applyFont="1" applyFill="1" applyBorder="1" applyAlignment="1">
      <alignment horizontal="center" vertical="center"/>
    </xf>
    <xf numFmtId="0" fontId="164" fillId="0" borderId="0" xfId="7" applyFont="1" applyFill="1" applyAlignment="1">
      <alignment horizontal="center" vertical="center"/>
    </xf>
    <xf numFmtId="0" fontId="171" fillId="0" borderId="13" xfId="7" applyFont="1" applyFill="1" applyBorder="1" applyAlignment="1">
      <alignment horizontal="center" vertical="center" wrapText="1"/>
    </xf>
    <xf numFmtId="0" fontId="171" fillId="0" borderId="14" xfId="7" applyFont="1" applyFill="1" applyBorder="1" applyAlignment="1">
      <alignment horizontal="center" vertical="center" wrapText="1"/>
    </xf>
    <xf numFmtId="0" fontId="171" fillId="0" borderId="13" xfId="7" applyFont="1" applyFill="1" applyBorder="1" applyAlignment="1">
      <alignment horizontal="center" vertical="center"/>
    </xf>
    <xf numFmtId="0" fontId="171" fillId="0" borderId="14" xfId="7" applyFont="1" applyFill="1" applyBorder="1" applyAlignment="1">
      <alignment horizontal="center" vertical="center"/>
    </xf>
    <xf numFmtId="0" fontId="171" fillId="0" borderId="2" xfId="7" applyFont="1" applyFill="1" applyBorder="1" applyAlignment="1">
      <alignment horizontal="center" vertical="center" wrapText="1"/>
    </xf>
    <xf numFmtId="0" fontId="171" fillId="0" borderId="11" xfId="7" applyFont="1" applyFill="1" applyBorder="1" applyAlignment="1">
      <alignment horizontal="center" vertical="center" wrapText="1"/>
    </xf>
    <xf numFmtId="0" fontId="171" fillId="0" borderId="23" xfId="7" applyFont="1" applyFill="1" applyBorder="1" applyAlignment="1">
      <alignment horizontal="center" vertical="center" wrapText="1"/>
    </xf>
    <xf numFmtId="0" fontId="171" fillId="0" borderId="7" xfId="7" applyFont="1" applyFill="1" applyBorder="1" applyAlignment="1">
      <alignment horizontal="center" vertical="center" wrapText="1"/>
    </xf>
    <xf numFmtId="0" fontId="171" fillId="0" borderId="9" xfId="7" applyFont="1" applyFill="1" applyBorder="1" applyAlignment="1">
      <alignment horizontal="center" vertical="center" wrapText="1"/>
    </xf>
    <xf numFmtId="0" fontId="171" fillId="0" borderId="17" xfId="7" applyFont="1" applyFill="1" applyBorder="1" applyAlignment="1">
      <alignment horizontal="center" vertical="center" wrapText="1"/>
    </xf>
    <xf numFmtId="0" fontId="171" fillId="0" borderId="39" xfId="7" applyFont="1" applyFill="1" applyBorder="1" applyAlignment="1">
      <alignment horizontal="center" vertical="center" wrapText="1"/>
    </xf>
    <xf numFmtId="0" fontId="171" fillId="0" borderId="15" xfId="7" applyFont="1" applyFill="1" applyBorder="1" applyAlignment="1">
      <alignment horizontal="center" vertical="center"/>
    </xf>
    <xf numFmtId="0" fontId="171" fillId="0" borderId="2" xfId="7" applyFont="1" applyFill="1" applyBorder="1" applyAlignment="1">
      <alignment horizontal="center" vertical="center" textRotation="255"/>
    </xf>
    <xf numFmtId="0" fontId="171" fillId="0" borderId="11" xfId="7" applyFont="1" applyFill="1" applyBorder="1" applyAlignment="1">
      <alignment horizontal="center" vertical="center" textRotation="255"/>
    </xf>
    <xf numFmtId="0" fontId="171" fillId="0" borderId="23" xfId="7" applyFont="1" applyFill="1" applyBorder="1" applyAlignment="1">
      <alignment horizontal="center" vertical="center" textRotation="255"/>
    </xf>
    <xf numFmtId="170" fontId="165" fillId="0" borderId="37" xfId="12" applyNumberFormat="1" applyFont="1" applyFill="1" applyBorder="1" applyAlignment="1">
      <alignment horizontal="center" vertical="center"/>
    </xf>
    <xf numFmtId="170" fontId="165" fillId="0" borderId="38" xfId="12" applyNumberFormat="1" applyFont="1" applyFill="1" applyBorder="1" applyAlignment="1">
      <alignment horizontal="center" vertical="center"/>
    </xf>
    <xf numFmtId="170" fontId="165" fillId="0" borderId="29" xfId="12" applyNumberFormat="1" applyFont="1" applyFill="1" applyBorder="1" applyAlignment="1">
      <alignment horizontal="center" vertical="center"/>
    </xf>
    <xf numFmtId="0" fontId="171" fillId="0" borderId="2" xfId="7" applyFont="1" applyFill="1" applyBorder="1" applyAlignment="1">
      <alignment horizontal="center" vertical="center"/>
    </xf>
    <xf numFmtId="0" fontId="171" fillId="0" borderId="11" xfId="7" applyFont="1" applyFill="1" applyBorder="1" applyAlignment="1">
      <alignment horizontal="center" vertical="center"/>
    </xf>
    <xf numFmtId="0" fontId="171" fillId="0" borderId="23" xfId="7" applyFont="1" applyFill="1" applyBorder="1" applyAlignment="1">
      <alignment horizontal="center" vertical="center"/>
    </xf>
    <xf numFmtId="0" fontId="171" fillId="0" borderId="4" xfId="7" applyFont="1" applyFill="1" applyBorder="1" applyAlignment="1">
      <alignment horizontal="center" vertical="center"/>
    </xf>
    <xf numFmtId="0" fontId="171" fillId="0" borderId="5" xfId="7" applyFont="1" applyFill="1" applyBorder="1" applyAlignment="1">
      <alignment horizontal="center" vertical="center"/>
    </xf>
    <xf numFmtId="0" fontId="171" fillId="0" borderId="6" xfId="7" applyFont="1" applyFill="1" applyBorder="1" applyAlignment="1">
      <alignment horizontal="center" vertical="center"/>
    </xf>
    <xf numFmtId="0" fontId="171" fillId="0" borderId="40" xfId="7" applyFont="1" applyFill="1" applyBorder="1" applyAlignment="1">
      <alignment horizontal="center" vertical="center" wrapText="1"/>
    </xf>
    <xf numFmtId="0" fontId="171" fillId="0" borderId="7" xfId="7" applyFont="1" applyFill="1" applyBorder="1" applyAlignment="1">
      <alignment horizontal="center" vertical="center"/>
    </xf>
    <xf numFmtId="0" fontId="171" fillId="0" borderId="8" xfId="7" applyFont="1" applyFill="1" applyBorder="1" applyAlignment="1">
      <alignment horizontal="center" vertical="center"/>
    </xf>
    <xf numFmtId="0" fontId="171" fillId="0" borderId="3" xfId="7" applyFont="1" applyFill="1" applyBorder="1" applyAlignment="1">
      <alignment horizontal="center" vertical="center"/>
    </xf>
    <xf numFmtId="0" fontId="171" fillId="0" borderId="17" xfId="7" applyFont="1" applyFill="1" applyBorder="1" applyAlignment="1">
      <alignment horizontal="center" vertical="center"/>
    </xf>
    <xf numFmtId="0" fontId="171" fillId="0" borderId="18" xfId="7" applyFont="1" applyFill="1" applyBorder="1" applyAlignment="1">
      <alignment horizontal="center" vertical="center"/>
    </xf>
    <xf numFmtId="0" fontId="171" fillId="0" borderId="19" xfId="7" applyFont="1" applyFill="1" applyBorder="1" applyAlignment="1">
      <alignment horizontal="center" vertical="center"/>
    </xf>
    <xf numFmtId="0" fontId="183" fillId="0" borderId="0" xfId="1502" applyFont="1" applyFill="1" applyBorder="1" applyAlignment="1">
      <alignment horizontal="center" vertical="center"/>
    </xf>
    <xf numFmtId="0" fontId="184" fillId="0" borderId="0" xfId="1502" applyFont="1" applyFill="1" applyAlignment="1">
      <alignment horizontal="center" vertical="center"/>
    </xf>
    <xf numFmtId="0" fontId="183" fillId="0" borderId="0" xfId="1502" applyFont="1" applyFill="1" applyAlignment="1">
      <alignment horizontal="center" vertical="center"/>
    </xf>
    <xf numFmtId="0" fontId="187" fillId="0" borderId="22" xfId="1502" applyFont="1" applyFill="1" applyBorder="1" applyAlignment="1">
      <alignment horizontal="center" vertical="center"/>
    </xf>
    <xf numFmtId="0" fontId="187" fillId="0" borderId="96" xfId="1502" applyFont="1" applyFill="1" applyBorder="1" applyAlignment="1">
      <alignment horizontal="center" vertical="center"/>
    </xf>
    <xf numFmtId="0" fontId="183" fillId="0" borderId="0" xfId="1502" applyFont="1" applyFill="1" applyBorder="1" applyAlignment="1">
      <alignment horizontal="center"/>
    </xf>
    <xf numFmtId="0" fontId="190" fillId="0" borderId="0" xfId="1502" applyFont="1" applyFill="1" applyBorder="1" applyAlignment="1">
      <alignment horizontal="center" vertical="center"/>
    </xf>
    <xf numFmtId="0" fontId="132" fillId="0" borderId="0" xfId="1504" applyFont="1" applyAlignment="1">
      <alignment horizontal="center"/>
    </xf>
    <xf numFmtId="0" fontId="132" fillId="0" borderId="0" xfId="1504" applyFont="1" applyBorder="1" applyAlignment="1">
      <alignment horizontal="center"/>
    </xf>
    <xf numFmtId="3" fontId="125" fillId="45" borderId="1" xfId="1504" applyNumberFormat="1" applyFont="1" applyFill="1" applyBorder="1" applyAlignment="1">
      <alignment horizontal="center" vertical="center"/>
    </xf>
    <xf numFmtId="3" fontId="125" fillId="45" borderId="10" xfId="1504" applyNumberFormat="1" applyFont="1" applyFill="1" applyBorder="1" applyAlignment="1">
      <alignment horizontal="center" vertical="center"/>
    </xf>
    <xf numFmtId="3" fontId="125" fillId="45" borderId="2" xfId="1504" applyNumberFormat="1" applyFont="1" applyFill="1" applyBorder="1" applyAlignment="1">
      <alignment horizontal="center" vertical="center"/>
    </xf>
    <xf numFmtId="3" fontId="125" fillId="45" borderId="11" xfId="1504" applyNumberFormat="1" applyFont="1" applyFill="1" applyBorder="1" applyAlignment="1">
      <alignment horizontal="center" vertical="center"/>
    </xf>
    <xf numFmtId="3" fontId="125" fillId="45" borderId="2" xfId="1504" applyNumberFormat="1" applyFont="1" applyFill="1" applyBorder="1" applyAlignment="1">
      <alignment horizontal="left" vertical="center"/>
    </xf>
    <xf numFmtId="3" fontId="125" fillId="45" borderId="11" xfId="1504" applyNumberFormat="1" applyFont="1" applyFill="1" applyBorder="1" applyAlignment="1">
      <alignment horizontal="left" vertical="center"/>
    </xf>
    <xf numFmtId="3" fontId="125" fillId="45" borderId="2" xfId="1504" applyNumberFormat="1" applyFont="1" applyFill="1" applyBorder="1" applyAlignment="1">
      <alignment horizontal="center" vertical="center" wrapText="1"/>
    </xf>
    <xf numFmtId="3" fontId="125" fillId="45" borderId="11" xfId="1504" applyNumberFormat="1" applyFont="1" applyFill="1" applyBorder="1" applyAlignment="1">
      <alignment horizontal="center" vertical="center" wrapText="1"/>
    </xf>
    <xf numFmtId="174" fontId="125" fillId="45" borderId="2" xfId="1505" applyNumberFormat="1" applyFont="1" applyFill="1" applyBorder="1" applyAlignment="1">
      <alignment horizontal="center" vertical="center"/>
    </xf>
    <xf numFmtId="174" fontId="125" fillId="45" borderId="11" xfId="1505" applyNumberFormat="1" applyFont="1" applyFill="1" applyBorder="1" applyAlignment="1">
      <alignment horizontal="center" vertical="center"/>
    </xf>
    <xf numFmtId="3" fontId="125" fillId="45" borderId="4" xfId="1504" applyNumberFormat="1" applyFont="1" applyFill="1" applyBorder="1" applyAlignment="1">
      <alignment horizontal="center" vertical="center"/>
    </xf>
    <xf numFmtId="3" fontId="125" fillId="45" borderId="5" xfId="1504" applyNumberFormat="1" applyFont="1" applyFill="1" applyBorder="1" applyAlignment="1">
      <alignment horizontal="center" vertical="center"/>
    </xf>
    <xf numFmtId="3" fontId="125" fillId="45" borderId="6" xfId="1504" applyNumberFormat="1" applyFont="1" applyFill="1" applyBorder="1" applyAlignment="1">
      <alignment horizontal="center" vertical="center"/>
    </xf>
    <xf numFmtId="3" fontId="125" fillId="45" borderId="43" xfId="1504" applyNumberFormat="1" applyFont="1" applyFill="1" applyBorder="1" applyAlignment="1">
      <alignment horizontal="center" vertical="center" wrapText="1"/>
    </xf>
    <xf numFmtId="3" fontId="125" fillId="45" borderId="34" xfId="1504" applyNumberFormat="1" applyFont="1" applyFill="1" applyBorder="1" applyAlignment="1">
      <alignment horizontal="center" vertical="center" wrapText="1"/>
    </xf>
    <xf numFmtId="0" fontId="135" fillId="0" borderId="0" xfId="7" applyFont="1" applyFill="1" applyAlignment="1">
      <alignment horizontal="center" vertical="center"/>
    </xf>
    <xf numFmtId="3" fontId="125" fillId="45" borderId="86" xfId="1504" applyNumberFormat="1" applyFont="1" applyFill="1" applyBorder="1" applyAlignment="1">
      <alignment horizontal="center" vertical="center"/>
    </xf>
    <xf numFmtId="3" fontId="125" fillId="45" borderId="87" xfId="1504" applyNumberFormat="1" applyFont="1" applyFill="1" applyBorder="1" applyAlignment="1">
      <alignment horizontal="center" vertical="center"/>
    </xf>
    <xf numFmtId="3" fontId="125" fillId="45" borderId="88" xfId="1504" applyNumberFormat="1" applyFont="1" applyFill="1" applyBorder="1" applyAlignment="1">
      <alignment horizontal="center" vertical="center"/>
    </xf>
    <xf numFmtId="3" fontId="125" fillId="45" borderId="89" xfId="1504" applyNumberFormat="1" applyFont="1" applyFill="1" applyBorder="1" applyAlignment="1">
      <alignment horizontal="center" vertical="center"/>
    </xf>
    <xf numFmtId="3" fontId="125" fillId="45" borderId="90" xfId="1504" applyNumberFormat="1" applyFont="1" applyFill="1" applyBorder="1" applyAlignment="1">
      <alignment horizontal="center" vertical="center"/>
    </xf>
    <xf numFmtId="3" fontId="125" fillId="45" borderId="91" xfId="1504" applyNumberFormat="1" applyFont="1" applyFill="1" applyBorder="1" applyAlignment="1">
      <alignment horizontal="center" vertical="center"/>
    </xf>
    <xf numFmtId="3" fontId="125" fillId="46" borderId="37" xfId="1504" applyNumberFormat="1" applyFont="1" applyFill="1" applyBorder="1" applyAlignment="1">
      <alignment horizontal="left" vertical="center"/>
    </xf>
    <xf numFmtId="3" fontId="125" fillId="46" borderId="38" xfId="1504" applyNumberFormat="1" applyFont="1" applyFill="1" applyBorder="1" applyAlignment="1">
      <alignment horizontal="left" vertical="center"/>
    </xf>
    <xf numFmtId="3" fontId="125" fillId="2" borderId="37" xfId="1504" applyNumberFormat="1" applyFont="1" applyFill="1" applyBorder="1" applyAlignment="1">
      <alignment horizontal="center"/>
    </xf>
    <xf numFmtId="3" fontId="125" fillId="2" borderId="38" xfId="1504" applyNumberFormat="1" applyFont="1" applyFill="1" applyBorder="1" applyAlignment="1">
      <alignment horizontal="center"/>
    </xf>
    <xf numFmtId="3" fontId="125" fillId="2" borderId="29" xfId="1504" applyNumberFormat="1" applyFont="1" applyFill="1" applyBorder="1" applyAlignment="1">
      <alignment horizontal="center"/>
    </xf>
    <xf numFmtId="3" fontId="125" fillId="46" borderId="94" xfId="1504" applyNumberFormat="1" applyFont="1" applyFill="1" applyBorder="1" applyAlignment="1">
      <alignment horizontal="center"/>
    </xf>
    <xf numFmtId="3" fontId="125" fillId="46" borderId="60" xfId="1504" applyNumberFormat="1" applyFont="1" applyFill="1" applyBorder="1" applyAlignment="1">
      <alignment horizontal="center"/>
    </xf>
    <xf numFmtId="3" fontId="125" fillId="46" borderId="95" xfId="1504" applyNumberFormat="1" applyFont="1" applyFill="1" applyBorder="1" applyAlignment="1">
      <alignment horizontal="center"/>
    </xf>
    <xf numFmtId="0" fontId="136" fillId="0" borderId="0" xfId="5" applyNumberFormat="1" applyFont="1" applyFill="1" applyBorder="1" applyAlignment="1">
      <alignment horizontal="center" vertical="center"/>
    </xf>
    <xf numFmtId="171" fontId="136" fillId="0" borderId="0" xfId="5" applyNumberFormat="1" applyFont="1" applyFill="1" applyBorder="1" applyAlignment="1">
      <alignment horizontal="center" vertical="center"/>
    </xf>
    <xf numFmtId="0" fontId="137" fillId="0" borderId="0" xfId="7" applyFont="1" applyFill="1" applyAlignment="1">
      <alignment horizontal="center" vertical="center"/>
    </xf>
    <xf numFmtId="0" fontId="20" fillId="0" borderId="1" xfId="7" applyFont="1" applyFill="1" applyBorder="1" applyAlignment="1">
      <alignment horizontal="center" vertical="center"/>
    </xf>
    <xf numFmtId="0" fontId="20" fillId="0" borderId="22" xfId="7" applyFont="1" applyFill="1" applyBorder="1" applyAlignment="1">
      <alignment horizontal="center" vertical="center"/>
    </xf>
    <xf numFmtId="0" fontId="26" fillId="0" borderId="37" xfId="7" applyFont="1" applyFill="1" applyBorder="1" applyAlignment="1">
      <alignment horizontal="center" vertical="center" wrapText="1"/>
    </xf>
    <xf numFmtId="0" fontId="26" fillId="0" borderId="38" xfId="7" applyFont="1" applyFill="1" applyBorder="1" applyAlignment="1">
      <alignment horizontal="center" vertical="center" wrapText="1"/>
    </xf>
    <xf numFmtId="0" fontId="107" fillId="0" borderId="16" xfId="7" applyFont="1" applyFill="1" applyBorder="1" applyAlignment="1">
      <alignment horizontal="center" vertical="center" wrapText="1"/>
    </xf>
    <xf numFmtId="0" fontId="107" fillId="0" borderId="23" xfId="7" applyFont="1" applyFill="1" applyBorder="1" applyAlignment="1">
      <alignment horizontal="center" vertical="center" wrapText="1"/>
    </xf>
    <xf numFmtId="0" fontId="107" fillId="0" borderId="21" xfId="7" applyFont="1" applyFill="1" applyBorder="1" applyAlignment="1">
      <alignment horizontal="center" vertical="center" wrapText="1"/>
    </xf>
    <xf numFmtId="0" fontId="107" fillId="0" borderId="2" xfId="7" applyFont="1" applyFill="1" applyBorder="1" applyAlignment="1">
      <alignment horizontal="center" vertical="center" wrapText="1"/>
    </xf>
    <xf numFmtId="0" fontId="107" fillId="0" borderId="11" xfId="7" applyFont="1" applyFill="1" applyBorder="1" applyAlignment="1">
      <alignment horizontal="center" vertical="center" wrapText="1"/>
    </xf>
    <xf numFmtId="0" fontId="103" fillId="0" borderId="0" xfId="7" applyFont="1" applyFill="1" applyAlignment="1">
      <alignment horizontal="center" vertical="center" wrapText="1"/>
    </xf>
    <xf numFmtId="0" fontId="104" fillId="0" borderId="0" xfId="7" applyFont="1" applyFill="1" applyAlignment="1">
      <alignment horizontal="center" vertical="center" wrapText="1"/>
    </xf>
    <xf numFmtId="0" fontId="107" fillId="0" borderId="1" xfId="7" applyFont="1" applyFill="1" applyBorder="1" applyAlignment="1">
      <alignment horizontal="center" vertical="center" wrapText="1"/>
    </xf>
    <xf numFmtId="0" fontId="107" fillId="0" borderId="10" xfId="7" applyFont="1" applyFill="1" applyBorder="1" applyAlignment="1">
      <alignment horizontal="center" vertical="center" wrapText="1"/>
    </xf>
    <xf numFmtId="0" fontId="107" fillId="0" borderId="22" xfId="7" applyFont="1" applyFill="1" applyBorder="1" applyAlignment="1">
      <alignment horizontal="center" vertical="center" wrapText="1"/>
    </xf>
    <xf numFmtId="0" fontId="107" fillId="0" borderId="26" xfId="7" applyFont="1" applyFill="1" applyBorder="1" applyAlignment="1">
      <alignment horizontal="center" vertical="center"/>
    </xf>
    <xf numFmtId="0" fontId="107" fillId="0" borderId="43" xfId="7" applyFont="1" applyFill="1" applyBorder="1" applyAlignment="1">
      <alignment horizontal="center" vertical="center" wrapText="1" shrinkToFit="1"/>
    </xf>
    <xf numFmtId="0" fontId="107" fillId="0" borderId="34" xfId="7" applyFont="1" applyFill="1" applyBorder="1" applyAlignment="1">
      <alignment horizontal="center" vertical="center" wrapText="1" shrinkToFit="1"/>
    </xf>
    <xf numFmtId="0" fontId="107" fillId="0" borderId="42" xfId="7" applyFont="1" applyFill="1" applyBorder="1" applyAlignment="1">
      <alignment horizontal="center" vertical="center" wrapText="1" shrinkToFit="1"/>
    </xf>
    <xf numFmtId="0" fontId="107" fillId="0" borderId="26" xfId="7" applyFont="1" applyFill="1" applyBorder="1" applyAlignment="1">
      <alignment horizontal="center" vertical="center" wrapText="1"/>
    </xf>
    <xf numFmtId="0" fontId="105" fillId="0" borderId="0" xfId="7" applyFont="1" applyFill="1" applyAlignment="1">
      <alignment horizontal="center" vertical="center"/>
    </xf>
    <xf numFmtId="0" fontId="28" fillId="0" borderId="0" xfId="7" applyFont="1" applyFill="1" applyAlignment="1">
      <alignment horizontal="center" vertical="center"/>
    </xf>
    <xf numFmtId="0" fontId="120" fillId="0" borderId="0" xfId="7" applyFont="1" applyFill="1" applyAlignment="1">
      <alignment horizontal="center" vertical="center"/>
    </xf>
    <xf numFmtId="0" fontId="33" fillId="0" borderId="0" xfId="7" applyFont="1" applyFill="1" applyAlignment="1">
      <alignment horizontal="center" vertical="center"/>
    </xf>
    <xf numFmtId="0" fontId="104" fillId="0" borderId="0" xfId="7" applyFont="1" applyFill="1" applyAlignment="1">
      <alignment horizontal="center" vertical="center"/>
    </xf>
    <xf numFmtId="0" fontId="31" fillId="0" borderId="0" xfId="7" applyFont="1" applyFill="1" applyAlignment="1">
      <alignment horizontal="center" vertical="center"/>
    </xf>
    <xf numFmtId="0" fontId="121" fillId="0" borderId="0" xfId="7" applyFont="1" applyFill="1" applyAlignment="1">
      <alignment horizontal="center" vertical="center" wrapText="1"/>
    </xf>
    <xf numFmtId="0" fontId="124" fillId="0" borderId="0" xfId="7" applyFont="1" applyFill="1" applyAlignment="1">
      <alignment horizontal="center" vertical="center"/>
    </xf>
    <xf numFmtId="0" fontId="103" fillId="0" borderId="0" xfId="7" applyFont="1" applyFill="1" applyAlignment="1">
      <alignment horizontal="center" vertical="center"/>
    </xf>
    <xf numFmtId="0" fontId="113" fillId="0" borderId="0" xfId="7" applyFont="1" applyFill="1" applyAlignment="1">
      <alignment horizontal="center" vertical="center"/>
    </xf>
    <xf numFmtId="37" fontId="165" fillId="47" borderId="52" xfId="5" applyNumberFormat="1" applyFont="1" applyFill="1" applyBorder="1" applyAlignment="1">
      <alignment horizontal="center" vertical="center" wrapText="1"/>
    </xf>
    <xf numFmtId="173" fontId="165" fillId="47" borderId="30" xfId="5" applyNumberFormat="1" applyFont="1" applyFill="1" applyBorder="1" applyAlignment="1">
      <alignment horizontal="right" vertical="center"/>
    </xf>
  </cellXfs>
  <cellStyles count="1866">
    <cellStyle name="‡" xfId="335"/>
    <cellStyle name="‡_515" xfId="336"/>
    <cellStyle name="‡_516" xfId="337"/>
    <cellStyle name="‡_529" xfId="338"/>
    <cellStyle name="‡_530" xfId="339"/>
    <cellStyle name="‡_581" xfId="340"/>
    <cellStyle name="‡_582" xfId="341"/>
    <cellStyle name="‡_BOOK1" xfId="342"/>
    <cellStyle name="‡_BOOK1_1" xfId="343"/>
    <cellStyle name="‡_STA-DRP" xfId="344"/>
    <cellStyle name="‡_STA-DRP_515" xfId="345"/>
    <cellStyle name="‡_STA-DRP_516" xfId="346"/>
    <cellStyle name="‡_STA-DRP_529" xfId="347"/>
    <cellStyle name="‡_STA-DRP_530" xfId="348"/>
    <cellStyle name="‡_STA-DRP_581" xfId="349"/>
    <cellStyle name="‡_STA-DRP_582" xfId="350"/>
    <cellStyle name="‡_STA-DRP_BOOK1" xfId="351"/>
    <cellStyle name="‡_STA-DRP_BOOK1_1" xfId="352"/>
    <cellStyle name="¹éºÐÀ²_±âÅ¸" xfId="353"/>
    <cellStyle name="20% - Accent1 10" xfId="354"/>
    <cellStyle name="20% - Accent1 10 2" xfId="355"/>
    <cellStyle name="20% - Accent1 10 3" xfId="356"/>
    <cellStyle name="20% - Accent1 11" xfId="357"/>
    <cellStyle name="20% - Accent1 11 2" xfId="358"/>
    <cellStyle name="20% - Accent1 11 3" xfId="359"/>
    <cellStyle name="20% - Accent1 12" xfId="360"/>
    <cellStyle name="20% - Accent1 2" xfId="361"/>
    <cellStyle name="20% - Accent1 2 2" xfId="362"/>
    <cellStyle name="20% - Accent1 3" xfId="363"/>
    <cellStyle name="20% - Accent1 3 2" xfId="364"/>
    <cellStyle name="20% - Accent1 3 3" xfId="365"/>
    <cellStyle name="20% - Accent1 4" xfId="366"/>
    <cellStyle name="20% - Accent1 4 2" xfId="367"/>
    <cellStyle name="20% - Accent1 4 3" xfId="368"/>
    <cellStyle name="20% - Accent1 5" xfId="369"/>
    <cellStyle name="20% - Accent1 5 2" xfId="370"/>
    <cellStyle name="20% - Accent1 5 3" xfId="371"/>
    <cellStyle name="20% - Accent1 6" xfId="372"/>
    <cellStyle name="20% - Accent1 6 2" xfId="373"/>
    <cellStyle name="20% - Accent1 6 3" xfId="374"/>
    <cellStyle name="20% - Accent1 7" xfId="375"/>
    <cellStyle name="20% - Accent1 7 2" xfId="376"/>
    <cellStyle name="20% - Accent1 7 3" xfId="377"/>
    <cellStyle name="20% - Accent1 8" xfId="378"/>
    <cellStyle name="20% - Accent1 8 2" xfId="379"/>
    <cellStyle name="20% - Accent1 8 3" xfId="380"/>
    <cellStyle name="20% - Accent1 9" xfId="381"/>
    <cellStyle name="20% - Accent1 9 2" xfId="382"/>
    <cellStyle name="20% - Accent1 9 3" xfId="383"/>
    <cellStyle name="20% - Accent2 10" xfId="384"/>
    <cellStyle name="20% - Accent2 10 2" xfId="385"/>
    <cellStyle name="20% - Accent2 11" xfId="386"/>
    <cellStyle name="20% - Accent2 11 2" xfId="387"/>
    <cellStyle name="20% - Accent2 12" xfId="388"/>
    <cellStyle name="20% - Accent2 2" xfId="389"/>
    <cellStyle name="20% - Accent2 3" xfId="390"/>
    <cellStyle name="20% - Accent2 3 2" xfId="391"/>
    <cellStyle name="20% - Accent2 4" xfId="392"/>
    <cellStyle name="20% - Accent2 4 2" xfId="393"/>
    <cellStyle name="20% - Accent2 5" xfId="394"/>
    <cellStyle name="20% - Accent2 5 2" xfId="395"/>
    <cellStyle name="20% - Accent2 6" xfId="396"/>
    <cellStyle name="20% - Accent2 6 2" xfId="397"/>
    <cellStyle name="20% - Accent2 7" xfId="398"/>
    <cellStyle name="20% - Accent2 7 2" xfId="399"/>
    <cellStyle name="20% - Accent2 8" xfId="400"/>
    <cellStyle name="20% - Accent2 8 2" xfId="401"/>
    <cellStyle name="20% - Accent2 9" xfId="402"/>
    <cellStyle name="20% - Accent2 9 2" xfId="403"/>
    <cellStyle name="20% - Accent3 10" xfId="404"/>
    <cellStyle name="20% - Accent3 10 2" xfId="405"/>
    <cellStyle name="20% - Accent3 11" xfId="406"/>
    <cellStyle name="20% - Accent3 11 2" xfId="407"/>
    <cellStyle name="20% - Accent3 12" xfId="408"/>
    <cellStyle name="20% - Accent3 2" xfId="409"/>
    <cellStyle name="20% - Accent3 3" xfId="410"/>
    <cellStyle name="20% - Accent3 3 2" xfId="411"/>
    <cellStyle name="20% - Accent3 4" xfId="412"/>
    <cellStyle name="20% - Accent3 4 2" xfId="413"/>
    <cellStyle name="20% - Accent3 5" xfId="414"/>
    <cellStyle name="20% - Accent3 5 2" xfId="415"/>
    <cellStyle name="20% - Accent3 6" xfId="416"/>
    <cellStyle name="20% - Accent3 6 2" xfId="417"/>
    <cellStyle name="20% - Accent3 7" xfId="418"/>
    <cellStyle name="20% - Accent3 7 2" xfId="419"/>
    <cellStyle name="20% - Accent3 8" xfId="420"/>
    <cellStyle name="20% - Accent3 8 2" xfId="421"/>
    <cellStyle name="20% - Accent3 9" xfId="422"/>
    <cellStyle name="20% - Accent3 9 2" xfId="423"/>
    <cellStyle name="20% - Accent4 10" xfId="424"/>
    <cellStyle name="20% - Accent4 10 2" xfId="425"/>
    <cellStyle name="20% - Accent4 11" xfId="426"/>
    <cellStyle name="20% - Accent4 11 2" xfId="427"/>
    <cellStyle name="20% - Accent4 12" xfId="428"/>
    <cellStyle name="20% - Accent4 2" xfId="429"/>
    <cellStyle name="20% - Accent4 3" xfId="430"/>
    <cellStyle name="20% - Accent4 3 2" xfId="431"/>
    <cellStyle name="20% - Accent4 4" xfId="432"/>
    <cellStyle name="20% - Accent4 4 2" xfId="433"/>
    <cellStyle name="20% - Accent4 5" xfId="434"/>
    <cellStyle name="20% - Accent4 5 2" xfId="435"/>
    <cellStyle name="20% - Accent4 6" xfId="436"/>
    <cellStyle name="20% - Accent4 6 2" xfId="437"/>
    <cellStyle name="20% - Accent4 7" xfId="438"/>
    <cellStyle name="20% - Accent4 7 2" xfId="439"/>
    <cellStyle name="20% - Accent4 8" xfId="440"/>
    <cellStyle name="20% - Accent4 8 2" xfId="441"/>
    <cellStyle name="20% - Accent4 9" xfId="442"/>
    <cellStyle name="20% - Accent4 9 2" xfId="443"/>
    <cellStyle name="20% - Accent5 10" xfId="444"/>
    <cellStyle name="20% - Accent5 10 2" xfId="445"/>
    <cellStyle name="20% - Accent5 10 3" xfId="446"/>
    <cellStyle name="20% - Accent5 11" xfId="447"/>
    <cellStyle name="20% - Accent5 11 2" xfId="448"/>
    <cellStyle name="20% - Accent5 11 3" xfId="449"/>
    <cellStyle name="20% - Accent5 12" xfId="450"/>
    <cellStyle name="20% - Accent5 2" xfId="451"/>
    <cellStyle name="20% - Accent5 2 2" xfId="452"/>
    <cellStyle name="20% - Accent5 3" xfId="453"/>
    <cellStyle name="20% - Accent5 3 2" xfId="454"/>
    <cellStyle name="20% - Accent5 3 3" xfId="455"/>
    <cellStyle name="20% - Accent5 4" xfId="456"/>
    <cellStyle name="20% - Accent5 4 2" xfId="457"/>
    <cellStyle name="20% - Accent5 4 3" xfId="458"/>
    <cellStyle name="20% - Accent5 5" xfId="459"/>
    <cellStyle name="20% - Accent5 5 2" xfId="460"/>
    <cellStyle name="20% - Accent5 5 3" xfId="461"/>
    <cellStyle name="20% - Accent5 6" xfId="462"/>
    <cellStyle name="20% - Accent5 6 2" xfId="463"/>
    <cellStyle name="20% - Accent5 6 3" xfId="464"/>
    <cellStyle name="20% - Accent5 7" xfId="465"/>
    <cellStyle name="20% - Accent5 7 2" xfId="466"/>
    <cellStyle name="20% - Accent5 7 3" xfId="467"/>
    <cellStyle name="20% - Accent5 8" xfId="468"/>
    <cellStyle name="20% - Accent5 8 2" xfId="469"/>
    <cellStyle name="20% - Accent5 8 3" xfId="470"/>
    <cellStyle name="20% - Accent5 9" xfId="471"/>
    <cellStyle name="20% - Accent5 9 2" xfId="472"/>
    <cellStyle name="20% - Accent5 9 3" xfId="473"/>
    <cellStyle name="20% - Accent6 10" xfId="474"/>
    <cellStyle name="20% - Accent6 10 2" xfId="475"/>
    <cellStyle name="20% - Accent6 10 3" xfId="476"/>
    <cellStyle name="20% - Accent6 11" xfId="477"/>
    <cellStyle name="20% - Accent6 11 2" xfId="478"/>
    <cellStyle name="20% - Accent6 11 3" xfId="479"/>
    <cellStyle name="20% - Accent6 12" xfId="480"/>
    <cellStyle name="20% - Accent6 2" xfId="481"/>
    <cellStyle name="20% - Accent6 2 2" xfId="482"/>
    <cellStyle name="20% - Accent6 3" xfId="483"/>
    <cellStyle name="20% - Accent6 3 2" xfId="484"/>
    <cellStyle name="20% - Accent6 3 3" xfId="485"/>
    <cellStyle name="20% - Accent6 4" xfId="486"/>
    <cellStyle name="20% - Accent6 4 2" xfId="487"/>
    <cellStyle name="20% - Accent6 4 3" xfId="488"/>
    <cellStyle name="20% - Accent6 5" xfId="489"/>
    <cellStyle name="20% - Accent6 5 2" xfId="490"/>
    <cellStyle name="20% - Accent6 5 3" xfId="491"/>
    <cellStyle name="20% - Accent6 6" xfId="492"/>
    <cellStyle name="20% - Accent6 6 2" xfId="493"/>
    <cellStyle name="20% - Accent6 6 3" xfId="494"/>
    <cellStyle name="20% - Accent6 7" xfId="495"/>
    <cellStyle name="20% - Accent6 7 2" xfId="496"/>
    <cellStyle name="20% - Accent6 7 3" xfId="497"/>
    <cellStyle name="20% - Accent6 8" xfId="498"/>
    <cellStyle name="20% - Accent6 8 2" xfId="499"/>
    <cellStyle name="20% - Accent6 8 3" xfId="500"/>
    <cellStyle name="20% - Accent6 9" xfId="501"/>
    <cellStyle name="20% - Accent6 9 2" xfId="502"/>
    <cellStyle name="20% - Accent6 9 3" xfId="503"/>
    <cellStyle name="40% - Accent1 10" xfId="504"/>
    <cellStyle name="40% - Accent1 10 2" xfId="505"/>
    <cellStyle name="40% - Accent1 11" xfId="506"/>
    <cellStyle name="40% - Accent1 11 2" xfId="507"/>
    <cellStyle name="40% - Accent1 12" xfId="508"/>
    <cellStyle name="40% - Accent1 2" xfId="509"/>
    <cellStyle name="40% - Accent1 3" xfId="510"/>
    <cellStyle name="40% - Accent1 3 2" xfId="511"/>
    <cellStyle name="40% - Accent1 4" xfId="512"/>
    <cellStyle name="40% - Accent1 4 2" xfId="513"/>
    <cellStyle name="40% - Accent1 5" xfId="514"/>
    <cellStyle name="40% - Accent1 5 2" xfId="515"/>
    <cellStyle name="40% - Accent1 6" xfId="516"/>
    <cellStyle name="40% - Accent1 6 2" xfId="517"/>
    <cellStyle name="40% - Accent1 7" xfId="518"/>
    <cellStyle name="40% - Accent1 7 2" xfId="519"/>
    <cellStyle name="40% - Accent1 8" xfId="520"/>
    <cellStyle name="40% - Accent1 8 2" xfId="521"/>
    <cellStyle name="40% - Accent1 9" xfId="522"/>
    <cellStyle name="40% - Accent1 9 2" xfId="523"/>
    <cellStyle name="40% - Accent2 10" xfId="524"/>
    <cellStyle name="40% - Accent2 10 2" xfId="525"/>
    <cellStyle name="40% - Accent2 11" xfId="526"/>
    <cellStyle name="40% - Accent2 11 2" xfId="527"/>
    <cellStyle name="40% - Accent2 12" xfId="528"/>
    <cellStyle name="40% - Accent2 2" xfId="529"/>
    <cellStyle name="40% - Accent2 3" xfId="530"/>
    <cellStyle name="40% - Accent2 3 2" xfId="531"/>
    <cellStyle name="40% - Accent2 4" xfId="532"/>
    <cellStyle name="40% - Accent2 4 2" xfId="533"/>
    <cellStyle name="40% - Accent2 5" xfId="534"/>
    <cellStyle name="40% - Accent2 5 2" xfId="535"/>
    <cellStyle name="40% - Accent2 6" xfId="536"/>
    <cellStyle name="40% - Accent2 6 2" xfId="537"/>
    <cellStyle name="40% - Accent2 7" xfId="538"/>
    <cellStyle name="40% - Accent2 7 2" xfId="539"/>
    <cellStyle name="40% - Accent2 8" xfId="540"/>
    <cellStyle name="40% - Accent2 8 2" xfId="541"/>
    <cellStyle name="40% - Accent2 9" xfId="542"/>
    <cellStyle name="40% - Accent2 9 2" xfId="543"/>
    <cellStyle name="40% - Accent3 10" xfId="544"/>
    <cellStyle name="40% - Accent3 10 2" xfId="545"/>
    <cellStyle name="40% - Accent3 10 3" xfId="546"/>
    <cellStyle name="40% - Accent3 11" xfId="547"/>
    <cellStyle name="40% - Accent3 11 2" xfId="548"/>
    <cellStyle name="40% - Accent3 11 3" xfId="549"/>
    <cellStyle name="40% - Accent3 12" xfId="550"/>
    <cellStyle name="40% - Accent3 2" xfId="551"/>
    <cellStyle name="40% - Accent3 2 2" xfId="552"/>
    <cellStyle name="40% - Accent3 3" xfId="553"/>
    <cellStyle name="40% - Accent3 3 2" xfId="554"/>
    <cellStyle name="40% - Accent3 3 3" xfId="555"/>
    <cellStyle name="40% - Accent3 4" xfId="556"/>
    <cellStyle name="40% - Accent3 4 2" xfId="557"/>
    <cellStyle name="40% - Accent3 4 3" xfId="558"/>
    <cellStyle name="40% - Accent3 5" xfId="559"/>
    <cellStyle name="40% - Accent3 5 2" xfId="560"/>
    <cellStyle name="40% - Accent3 5 3" xfId="561"/>
    <cellStyle name="40% - Accent3 6" xfId="562"/>
    <cellStyle name="40% - Accent3 6 2" xfId="563"/>
    <cellStyle name="40% - Accent3 6 3" xfId="564"/>
    <cellStyle name="40% - Accent3 7" xfId="565"/>
    <cellStyle name="40% - Accent3 7 2" xfId="566"/>
    <cellStyle name="40% - Accent3 7 3" xfId="567"/>
    <cellStyle name="40% - Accent3 8" xfId="568"/>
    <cellStyle name="40% - Accent3 8 2" xfId="569"/>
    <cellStyle name="40% - Accent3 8 3" xfId="570"/>
    <cellStyle name="40% - Accent3 9" xfId="571"/>
    <cellStyle name="40% - Accent3 9 2" xfId="572"/>
    <cellStyle name="40% - Accent3 9 3" xfId="573"/>
    <cellStyle name="40% - Accent4 10" xfId="574"/>
    <cellStyle name="40% - Accent4 10 2" xfId="575"/>
    <cellStyle name="40% - Accent4 11" xfId="576"/>
    <cellStyle name="40% - Accent4 11 2" xfId="577"/>
    <cellStyle name="40% - Accent4 12" xfId="578"/>
    <cellStyle name="40% - Accent4 2" xfId="579"/>
    <cellStyle name="40% - Accent4 3" xfId="580"/>
    <cellStyle name="40% - Accent4 3 2" xfId="581"/>
    <cellStyle name="40% - Accent4 4" xfId="582"/>
    <cellStyle name="40% - Accent4 4 2" xfId="583"/>
    <cellStyle name="40% - Accent4 5" xfId="584"/>
    <cellStyle name="40% - Accent4 5 2" xfId="585"/>
    <cellStyle name="40% - Accent4 6" xfId="586"/>
    <cellStyle name="40% - Accent4 6 2" xfId="587"/>
    <cellStyle name="40% - Accent4 7" xfId="588"/>
    <cellStyle name="40% - Accent4 7 2" xfId="589"/>
    <cellStyle name="40% - Accent4 8" xfId="590"/>
    <cellStyle name="40% - Accent4 8 2" xfId="591"/>
    <cellStyle name="40% - Accent4 9" xfId="592"/>
    <cellStyle name="40% - Accent4 9 2" xfId="593"/>
    <cellStyle name="40% - Accent5 10" xfId="594"/>
    <cellStyle name="40% - Accent5 10 2" xfId="595"/>
    <cellStyle name="40% - Accent5 11" xfId="596"/>
    <cellStyle name="40% - Accent5 11 2" xfId="597"/>
    <cellStyle name="40% - Accent5 2" xfId="598"/>
    <cellStyle name="40% - Accent5 3" xfId="599"/>
    <cellStyle name="40% - Accent5 3 2" xfId="600"/>
    <cellStyle name="40% - Accent5 4" xfId="601"/>
    <cellStyle name="40% - Accent5 4 2" xfId="602"/>
    <cellStyle name="40% - Accent5 5" xfId="603"/>
    <cellStyle name="40% - Accent5 5 2" xfId="604"/>
    <cellStyle name="40% - Accent5 6" xfId="605"/>
    <cellStyle name="40% - Accent5 6 2" xfId="606"/>
    <cellStyle name="40% - Accent5 7" xfId="607"/>
    <cellStyle name="40% - Accent5 7 2" xfId="608"/>
    <cellStyle name="40% - Accent5 8" xfId="609"/>
    <cellStyle name="40% - Accent5 8 2" xfId="610"/>
    <cellStyle name="40% - Accent5 9" xfId="611"/>
    <cellStyle name="40% - Accent5 9 2" xfId="612"/>
    <cellStyle name="40% - Accent6 10" xfId="613"/>
    <cellStyle name="40% - Accent6 10 2" xfId="614"/>
    <cellStyle name="40% - Accent6 11" xfId="615"/>
    <cellStyle name="40% - Accent6 11 2" xfId="616"/>
    <cellStyle name="40% - Accent6 12" xfId="617"/>
    <cellStyle name="40% - Accent6 2" xfId="618"/>
    <cellStyle name="40% - Accent6 3" xfId="619"/>
    <cellStyle name="40% - Accent6 3 2" xfId="620"/>
    <cellStyle name="40% - Accent6 4" xfId="621"/>
    <cellStyle name="40% - Accent6 4 2" xfId="622"/>
    <cellStyle name="40% - Accent6 5" xfId="623"/>
    <cellStyle name="40% - Accent6 5 2" xfId="624"/>
    <cellStyle name="40% - Accent6 6" xfId="625"/>
    <cellStyle name="40% - Accent6 6 2" xfId="626"/>
    <cellStyle name="40% - Accent6 7" xfId="627"/>
    <cellStyle name="40% - Accent6 7 2" xfId="628"/>
    <cellStyle name="40% - Accent6 8" xfId="629"/>
    <cellStyle name="40% - Accent6 8 2" xfId="630"/>
    <cellStyle name="40% - Accent6 9" xfId="631"/>
    <cellStyle name="40% - Accent6 9 2" xfId="632"/>
    <cellStyle name="60% - Accent1 10" xfId="633"/>
    <cellStyle name="60% - Accent1 11" xfId="634"/>
    <cellStyle name="60% - Accent1 12" xfId="635"/>
    <cellStyle name="60% - Accent1 2" xfId="636"/>
    <cellStyle name="60% - Accent1 3" xfId="637"/>
    <cellStyle name="60% - Accent1 4" xfId="638"/>
    <cellStyle name="60% - Accent1 5" xfId="639"/>
    <cellStyle name="60% - Accent1 6" xfId="640"/>
    <cellStyle name="60% - Accent1 7" xfId="641"/>
    <cellStyle name="60% - Accent1 8" xfId="642"/>
    <cellStyle name="60% - Accent1 9" xfId="643"/>
    <cellStyle name="60% - Accent2 10" xfId="644"/>
    <cellStyle name="60% - Accent2 11" xfId="645"/>
    <cellStyle name="60% - Accent2 12" xfId="646"/>
    <cellStyle name="60% - Accent2 2" xfId="647"/>
    <cellStyle name="60% - Accent2 3" xfId="648"/>
    <cellStyle name="60% - Accent2 4" xfId="649"/>
    <cellStyle name="60% - Accent2 5" xfId="650"/>
    <cellStyle name="60% - Accent2 6" xfId="651"/>
    <cellStyle name="60% - Accent2 7" xfId="652"/>
    <cellStyle name="60% - Accent2 8" xfId="653"/>
    <cellStyle name="60% - Accent2 9" xfId="654"/>
    <cellStyle name="60% - Accent3 10" xfId="655"/>
    <cellStyle name="60% - Accent3 10 2" xfId="656"/>
    <cellStyle name="60% - Accent3 11" xfId="657"/>
    <cellStyle name="60% - Accent3 11 2" xfId="658"/>
    <cellStyle name="60% - Accent3 12" xfId="659"/>
    <cellStyle name="60% - Accent3 2" xfId="660"/>
    <cellStyle name="60% - Accent3 2 2" xfId="661"/>
    <cellStyle name="60% - Accent3 3" xfId="662"/>
    <cellStyle name="60% - Accent3 3 2" xfId="663"/>
    <cellStyle name="60% - Accent3 4" xfId="664"/>
    <cellStyle name="60% - Accent3 4 2" xfId="665"/>
    <cellStyle name="60% - Accent3 5" xfId="666"/>
    <cellStyle name="60% - Accent3 5 2" xfId="667"/>
    <cellStyle name="60% - Accent3 6" xfId="668"/>
    <cellStyle name="60% - Accent3 6 2" xfId="669"/>
    <cellStyle name="60% - Accent3 7" xfId="670"/>
    <cellStyle name="60% - Accent3 7 2" xfId="671"/>
    <cellStyle name="60% - Accent3 8" xfId="672"/>
    <cellStyle name="60% - Accent3 8 2" xfId="673"/>
    <cellStyle name="60% - Accent3 9" xfId="674"/>
    <cellStyle name="60% - Accent3 9 2" xfId="675"/>
    <cellStyle name="60% - Accent4 10" xfId="676"/>
    <cellStyle name="60% - Accent4 10 2" xfId="677"/>
    <cellStyle name="60% - Accent4 11" xfId="678"/>
    <cellStyle name="60% - Accent4 11 2" xfId="679"/>
    <cellStyle name="60% - Accent4 12" xfId="680"/>
    <cellStyle name="60% - Accent4 2" xfId="681"/>
    <cellStyle name="60% - Accent4 2 2" xfId="682"/>
    <cellStyle name="60% - Accent4 3" xfId="683"/>
    <cellStyle name="60% - Accent4 3 2" xfId="684"/>
    <cellStyle name="60% - Accent4 4" xfId="685"/>
    <cellStyle name="60% - Accent4 4 2" xfId="686"/>
    <cellStyle name="60% - Accent4 5" xfId="687"/>
    <cellStyle name="60% - Accent4 5 2" xfId="688"/>
    <cellStyle name="60% - Accent4 6" xfId="689"/>
    <cellStyle name="60% - Accent4 6 2" xfId="690"/>
    <cellStyle name="60% - Accent4 7" xfId="691"/>
    <cellStyle name="60% - Accent4 7 2" xfId="692"/>
    <cellStyle name="60% - Accent4 8" xfId="693"/>
    <cellStyle name="60% - Accent4 8 2" xfId="694"/>
    <cellStyle name="60% - Accent4 9" xfId="695"/>
    <cellStyle name="60% - Accent4 9 2" xfId="696"/>
    <cellStyle name="60% - Accent5 10" xfId="697"/>
    <cellStyle name="60% - Accent5 11" xfId="698"/>
    <cellStyle name="60% - Accent5 12" xfId="699"/>
    <cellStyle name="60% - Accent5 2" xfId="700"/>
    <cellStyle name="60% - Accent5 3" xfId="701"/>
    <cellStyle name="60% - Accent5 4" xfId="702"/>
    <cellStyle name="60% - Accent5 5" xfId="703"/>
    <cellStyle name="60% - Accent5 6" xfId="704"/>
    <cellStyle name="60% - Accent5 7" xfId="705"/>
    <cellStyle name="60% - Accent5 8" xfId="706"/>
    <cellStyle name="60% - Accent5 9" xfId="707"/>
    <cellStyle name="60% - Accent6 10" xfId="708"/>
    <cellStyle name="60% - Accent6 10 2" xfId="709"/>
    <cellStyle name="60% - Accent6 11" xfId="710"/>
    <cellStyle name="60% - Accent6 11 2" xfId="711"/>
    <cellStyle name="60% - Accent6 12" xfId="712"/>
    <cellStyle name="60% - Accent6 2" xfId="713"/>
    <cellStyle name="60% - Accent6 2 2" xfId="714"/>
    <cellStyle name="60% - Accent6 3" xfId="715"/>
    <cellStyle name="60% - Accent6 3 2" xfId="716"/>
    <cellStyle name="60% - Accent6 4" xfId="717"/>
    <cellStyle name="60% - Accent6 4 2" xfId="718"/>
    <cellStyle name="60% - Accent6 5" xfId="719"/>
    <cellStyle name="60% - Accent6 5 2" xfId="720"/>
    <cellStyle name="60% - Accent6 6" xfId="721"/>
    <cellStyle name="60% - Accent6 6 2" xfId="722"/>
    <cellStyle name="60% - Accent6 7" xfId="723"/>
    <cellStyle name="60% - Accent6 7 2" xfId="724"/>
    <cellStyle name="60% - Accent6 8" xfId="725"/>
    <cellStyle name="60% - Accent6 8 2" xfId="726"/>
    <cellStyle name="60% - Accent6 9" xfId="727"/>
    <cellStyle name="60% - Accent6 9 2" xfId="728"/>
    <cellStyle name="Accent1 10" xfId="729"/>
    <cellStyle name="Accent1 11" xfId="730"/>
    <cellStyle name="Accent1 12" xfId="731"/>
    <cellStyle name="Accent1 2" xfId="732"/>
    <cellStyle name="Accent1 3" xfId="733"/>
    <cellStyle name="Accent1 4" xfId="734"/>
    <cellStyle name="Accent1 5" xfId="735"/>
    <cellStyle name="Accent1 6" xfId="736"/>
    <cellStyle name="Accent1 7" xfId="737"/>
    <cellStyle name="Accent1 8" xfId="738"/>
    <cellStyle name="Accent1 9" xfId="739"/>
    <cellStyle name="Accent2 10" xfId="740"/>
    <cellStyle name="Accent2 11" xfId="741"/>
    <cellStyle name="Accent2 12" xfId="742"/>
    <cellStyle name="Accent2 2" xfId="743"/>
    <cellStyle name="Accent2 3" xfId="744"/>
    <cellStyle name="Accent2 4" xfId="745"/>
    <cellStyle name="Accent2 5" xfId="746"/>
    <cellStyle name="Accent2 6" xfId="747"/>
    <cellStyle name="Accent2 7" xfId="748"/>
    <cellStyle name="Accent2 8" xfId="749"/>
    <cellStyle name="Accent2 9" xfId="750"/>
    <cellStyle name="Accent3 10" xfId="751"/>
    <cellStyle name="Accent3 10 2" xfId="752"/>
    <cellStyle name="Accent3 11" xfId="753"/>
    <cellStyle name="Accent3 11 2" xfId="754"/>
    <cellStyle name="Accent3 12" xfId="755"/>
    <cellStyle name="Accent3 2" xfId="756"/>
    <cellStyle name="Accent3 2 2" xfId="757"/>
    <cellStyle name="Accent3 3" xfId="758"/>
    <cellStyle name="Accent3 3 2" xfId="759"/>
    <cellStyle name="Accent3 4" xfId="760"/>
    <cellStyle name="Accent3 4 2" xfId="761"/>
    <cellStyle name="Accent3 5" xfId="762"/>
    <cellStyle name="Accent3 5 2" xfId="763"/>
    <cellStyle name="Accent3 6" xfId="764"/>
    <cellStyle name="Accent3 6 2" xfId="765"/>
    <cellStyle name="Accent3 7" xfId="766"/>
    <cellStyle name="Accent3 7 2" xfId="767"/>
    <cellStyle name="Accent3 8" xfId="768"/>
    <cellStyle name="Accent3 8 2" xfId="769"/>
    <cellStyle name="Accent3 9" xfId="770"/>
    <cellStyle name="Accent3 9 2" xfId="771"/>
    <cellStyle name="Accent4 10" xfId="772"/>
    <cellStyle name="Accent4 10 2" xfId="773"/>
    <cellStyle name="Accent4 11" xfId="774"/>
    <cellStyle name="Accent4 11 2" xfId="775"/>
    <cellStyle name="Accent4 12" xfId="776"/>
    <cellStyle name="Accent4 2" xfId="777"/>
    <cellStyle name="Accent4 2 2" xfId="778"/>
    <cellStyle name="Accent4 3" xfId="779"/>
    <cellStyle name="Accent4 3 2" xfId="780"/>
    <cellStyle name="Accent4 4" xfId="781"/>
    <cellStyle name="Accent4 4 2" xfId="782"/>
    <cellStyle name="Accent4 5" xfId="783"/>
    <cellStyle name="Accent4 5 2" xfId="784"/>
    <cellStyle name="Accent4 6" xfId="785"/>
    <cellStyle name="Accent4 6 2" xfId="786"/>
    <cellStyle name="Accent4 7" xfId="787"/>
    <cellStyle name="Accent4 7 2" xfId="788"/>
    <cellStyle name="Accent4 8" xfId="789"/>
    <cellStyle name="Accent4 8 2" xfId="790"/>
    <cellStyle name="Accent4 9" xfId="791"/>
    <cellStyle name="Accent4 9 2" xfId="792"/>
    <cellStyle name="Accent5 10" xfId="793"/>
    <cellStyle name="Accent5 11" xfId="794"/>
    <cellStyle name="Accent5 12" xfId="795"/>
    <cellStyle name="Accent5 2" xfId="796"/>
    <cellStyle name="Accent5 3" xfId="797"/>
    <cellStyle name="Accent5 4" xfId="798"/>
    <cellStyle name="Accent5 5" xfId="799"/>
    <cellStyle name="Accent5 6" xfId="800"/>
    <cellStyle name="Accent5 7" xfId="801"/>
    <cellStyle name="Accent5 8" xfId="802"/>
    <cellStyle name="Accent5 9" xfId="803"/>
    <cellStyle name="Accent6 10" xfId="804"/>
    <cellStyle name="Accent6 10 2" xfId="805"/>
    <cellStyle name="Accent6 11" xfId="806"/>
    <cellStyle name="Accent6 11 2" xfId="807"/>
    <cellStyle name="Accent6 12" xfId="808"/>
    <cellStyle name="Accent6 2" xfId="809"/>
    <cellStyle name="Accent6 2 2" xfId="810"/>
    <cellStyle name="Accent6 3" xfId="811"/>
    <cellStyle name="Accent6 3 2" xfId="812"/>
    <cellStyle name="Accent6 4" xfId="813"/>
    <cellStyle name="Accent6 4 2" xfId="814"/>
    <cellStyle name="Accent6 5" xfId="815"/>
    <cellStyle name="Accent6 5 2" xfId="816"/>
    <cellStyle name="Accent6 6" xfId="817"/>
    <cellStyle name="Accent6 6 2" xfId="818"/>
    <cellStyle name="Accent6 7" xfId="819"/>
    <cellStyle name="Accent6 7 2" xfId="820"/>
    <cellStyle name="Accent6 8" xfId="821"/>
    <cellStyle name="Accent6 8 2" xfId="822"/>
    <cellStyle name="Accent6 9" xfId="823"/>
    <cellStyle name="Accent6 9 2" xfId="824"/>
    <cellStyle name="ÅëÈ­ [0]_±âÅ¸" xfId="825"/>
    <cellStyle name="ÅëÈ­_±âÅ¸" xfId="826"/>
    <cellStyle name="args.style" xfId="91"/>
    <cellStyle name="ÄÞ¸¶ [0]_±âÅ¸" xfId="827"/>
    <cellStyle name="ÄÞ¸¶_±âÅ¸" xfId="828"/>
    <cellStyle name="Bad 10" xfId="829"/>
    <cellStyle name="Bad 11" xfId="830"/>
    <cellStyle name="Bad 12" xfId="831"/>
    <cellStyle name="Bad 2" xfId="832"/>
    <cellStyle name="Bad 3" xfId="833"/>
    <cellStyle name="Bad 4" xfId="834"/>
    <cellStyle name="Bad 5" xfId="835"/>
    <cellStyle name="Bad 6" xfId="836"/>
    <cellStyle name="Bad 7" xfId="837"/>
    <cellStyle name="Bad 8" xfId="838"/>
    <cellStyle name="Bad 9" xfId="839"/>
    <cellStyle name="Ç¥ÁØ_¿¬°£´©°è¿¹»ó" xfId="840"/>
    <cellStyle name="Calc Currency (0)" xfId="92"/>
    <cellStyle name="Calc Currency (2)" xfId="93"/>
    <cellStyle name="Calc Percent (0)" xfId="94"/>
    <cellStyle name="Calc Percent (1)" xfId="95"/>
    <cellStyle name="Calc Percent (2)" xfId="96"/>
    <cellStyle name="Calc Units (0)" xfId="97"/>
    <cellStyle name="Calc Units (1)" xfId="98"/>
    <cellStyle name="Calc Units (2)" xfId="99"/>
    <cellStyle name="Calculation 10" xfId="841"/>
    <cellStyle name="Calculation 10 2" xfId="1507"/>
    <cellStyle name="Calculation 10 3" xfId="1508"/>
    <cellStyle name="Calculation 11" xfId="842"/>
    <cellStyle name="Calculation 11 2" xfId="1509"/>
    <cellStyle name="Calculation 11 3" xfId="1510"/>
    <cellStyle name="Calculation 12" xfId="843"/>
    <cellStyle name="Calculation 12 2" xfId="1511"/>
    <cellStyle name="Calculation 12 3" xfId="1512"/>
    <cellStyle name="Calculation 2" xfId="844"/>
    <cellStyle name="Calculation 2 2" xfId="1513"/>
    <cellStyle name="Calculation 2 3" xfId="1514"/>
    <cellStyle name="Calculation 3" xfId="845"/>
    <cellStyle name="Calculation 3 2" xfId="1515"/>
    <cellStyle name="Calculation 3 3" xfId="1516"/>
    <cellStyle name="Calculation 4" xfId="846"/>
    <cellStyle name="Calculation 4 2" xfId="1517"/>
    <cellStyle name="Calculation 4 3" xfId="1518"/>
    <cellStyle name="Calculation 5" xfId="847"/>
    <cellStyle name="Calculation 5 2" xfId="1519"/>
    <cellStyle name="Calculation 5 3" xfId="1520"/>
    <cellStyle name="Calculation 6" xfId="848"/>
    <cellStyle name="Calculation 6 2" xfId="1521"/>
    <cellStyle name="Calculation 6 3" xfId="1522"/>
    <cellStyle name="Calculation 7" xfId="849"/>
    <cellStyle name="Calculation 7 2" xfId="1523"/>
    <cellStyle name="Calculation 7 3" xfId="1524"/>
    <cellStyle name="Calculation 8" xfId="850"/>
    <cellStyle name="Calculation 8 2" xfId="1525"/>
    <cellStyle name="Calculation 8 3" xfId="1526"/>
    <cellStyle name="Calculation 9" xfId="851"/>
    <cellStyle name="Calculation 9 2" xfId="1527"/>
    <cellStyle name="Calculation 9 3" xfId="1528"/>
    <cellStyle name="Check Cell 10" xfId="852"/>
    <cellStyle name="Check Cell 10 2" xfId="853"/>
    <cellStyle name="Check Cell 11" xfId="854"/>
    <cellStyle name="Check Cell 11 2" xfId="855"/>
    <cellStyle name="Check Cell 12" xfId="856"/>
    <cellStyle name="Check Cell 2" xfId="857"/>
    <cellStyle name="Check Cell 2 2" xfId="858"/>
    <cellStyle name="Check Cell 3" xfId="859"/>
    <cellStyle name="Check Cell 3 2" xfId="860"/>
    <cellStyle name="Check Cell 4" xfId="861"/>
    <cellStyle name="Check Cell 4 2" xfId="862"/>
    <cellStyle name="Check Cell 5" xfId="863"/>
    <cellStyle name="Check Cell 5 2" xfId="864"/>
    <cellStyle name="Check Cell 6" xfId="865"/>
    <cellStyle name="Check Cell 6 2" xfId="866"/>
    <cellStyle name="Check Cell 7" xfId="867"/>
    <cellStyle name="Check Cell 7 2" xfId="868"/>
    <cellStyle name="Check Cell 8" xfId="869"/>
    <cellStyle name="Check Cell 8 2" xfId="870"/>
    <cellStyle name="Check Cell 9" xfId="871"/>
    <cellStyle name="Check Cell 9 2" xfId="872"/>
    <cellStyle name="Comma" xfId="86" builtinId="3"/>
    <cellStyle name="Comma [0]" xfId="85" builtinId="6"/>
    <cellStyle name="Comma [0] 10" xfId="27"/>
    <cellStyle name="Comma [0] 10 2" xfId="100"/>
    <cellStyle name="Comma [0] 10 2 2" xfId="101"/>
    <cellStyle name="Comma [0] 10 2 2 2" xfId="102"/>
    <cellStyle name="Comma [0] 10 2 2 2 2" xfId="873"/>
    <cellStyle name="Comma [0] 10 2 2 2 2 2" xfId="1529"/>
    <cellStyle name="Comma [0] 10 2 2 2 3" xfId="874"/>
    <cellStyle name="Comma [0] 10 2 2 2 3 2" xfId="1530"/>
    <cellStyle name="Comma [0] 10 2 2 2 4" xfId="1531"/>
    <cellStyle name="Comma [0] 10 2 2 3" xfId="875"/>
    <cellStyle name="Comma [0] 10 2 2 3 2" xfId="876"/>
    <cellStyle name="Comma [0] 10 2 2 3 2 2" xfId="1532"/>
    <cellStyle name="Comma [0] 10 2 2 3 3" xfId="1533"/>
    <cellStyle name="Comma [0] 10 2 2 4" xfId="877"/>
    <cellStyle name="Comma [0] 10 2 2 4 2" xfId="1534"/>
    <cellStyle name="Comma [0] 10 2 2 5" xfId="1535"/>
    <cellStyle name="Comma [0] 10 2 3" xfId="103"/>
    <cellStyle name="Comma [0] 10 2 3 2" xfId="878"/>
    <cellStyle name="Comma [0] 10 2 3 2 2" xfId="1536"/>
    <cellStyle name="Comma [0] 10 2 3 3" xfId="1537"/>
    <cellStyle name="Comma [0] 10 2 4" xfId="879"/>
    <cellStyle name="Comma [0] 10 2 4 2" xfId="1538"/>
    <cellStyle name="Comma [0] 10 2 5" xfId="1539"/>
    <cellStyle name="Comma [0] 10 3" xfId="333"/>
    <cellStyle name="Comma [0] 10 3 2" xfId="880"/>
    <cellStyle name="Comma [0] 10 3 3" xfId="881"/>
    <cellStyle name="Comma [0] 10 4" xfId="882"/>
    <cellStyle name="Comma [0] 10 4 2" xfId="883"/>
    <cellStyle name="Comma [0] 10 4 3" xfId="884"/>
    <cellStyle name="Comma [0] 10 5" xfId="885"/>
    <cellStyle name="Comma [0] 10 5 2" xfId="886"/>
    <cellStyle name="Comma [0] 10 5 3" xfId="887"/>
    <cellStyle name="Comma [0] 10 6" xfId="888"/>
    <cellStyle name="Comma [0] 10 6 2" xfId="889"/>
    <cellStyle name="Comma [0] 10 6 3" xfId="890"/>
    <cellStyle name="Comma [0] 10 7" xfId="891"/>
    <cellStyle name="Comma [0] 10 7 2" xfId="892"/>
    <cellStyle name="Comma [0] 10 7 3" xfId="893"/>
    <cellStyle name="Comma [0] 10 8" xfId="1540"/>
    <cellStyle name="Comma [0] 11" xfId="104"/>
    <cellStyle name="Comma [0] 12" xfId="105"/>
    <cellStyle name="Comma [0] 12 2" xfId="106"/>
    <cellStyle name="Comma [0] 13" xfId="107"/>
    <cellStyle name="Comma [0] 13 2" xfId="1541"/>
    <cellStyle name="Comma [0] 14" xfId="108"/>
    <cellStyle name="Comma [0] 14 2" xfId="1542"/>
    <cellStyle name="Comma [0] 15" xfId="109"/>
    <cellStyle name="Comma [0] 16" xfId="1506"/>
    <cellStyle name="Comma [0] 2" xfId="13"/>
    <cellStyle name="Comma [0] 2 10" xfId="110"/>
    <cellStyle name="Comma [0] 2 10 2" xfId="894"/>
    <cellStyle name="Comma [0] 2 11" xfId="111"/>
    <cellStyle name="Comma [0] 2 11 2" xfId="895"/>
    <cellStyle name="Comma [0] 2 11 3" xfId="1543"/>
    <cellStyle name="Comma [0] 2 12" xfId="112"/>
    <cellStyle name="Comma [0] 2 12 2" xfId="896"/>
    <cellStyle name="Comma [0] 2 12 3" xfId="1544"/>
    <cellStyle name="Comma [0] 2 13" xfId="897"/>
    <cellStyle name="Comma [0] 2 13 2" xfId="898"/>
    <cellStyle name="Comma [0] 2 14" xfId="899"/>
    <cellStyle name="Comma [0] 2 15" xfId="900"/>
    <cellStyle name="Comma [0] 2 15 2" xfId="901"/>
    <cellStyle name="Comma [0] 2 16" xfId="902"/>
    <cellStyle name="Comma [0] 2 17" xfId="903"/>
    <cellStyle name="Comma [0] 2 17 2" xfId="1545"/>
    <cellStyle name="Comma [0] 2 18" xfId="1546"/>
    <cellStyle name="Comma [0] 2 19" xfId="1547"/>
    <cellStyle name="Comma [0] 2 2" xfId="22"/>
    <cellStyle name="Comma [0] 2 2 2" xfId="904"/>
    <cellStyle name="Comma [0] 2 2 3" xfId="905"/>
    <cellStyle name="Comma [0] 2 2 4" xfId="906"/>
    <cellStyle name="Comma [0] 2 2 5" xfId="907"/>
    <cellStyle name="Comma [0] 2 2 6" xfId="908"/>
    <cellStyle name="Comma [0] 2 2 7" xfId="909"/>
    <cellStyle name="Comma [0] 2 2 8" xfId="910"/>
    <cellStyle name="Comma [0] 2 2 9" xfId="911"/>
    <cellStyle name="Comma [0] 2 3" xfId="113"/>
    <cellStyle name="Comma [0] 2 3 2" xfId="912"/>
    <cellStyle name="Comma [0] 2 4" xfId="114"/>
    <cellStyle name="Comma [0] 2 4 2" xfId="913"/>
    <cellStyle name="Comma [0] 2 5" xfId="115"/>
    <cellStyle name="Comma [0] 2 5 2" xfId="914"/>
    <cellStyle name="Comma [0] 2 6" xfId="116"/>
    <cellStyle name="Comma [0] 2 6 2" xfId="915"/>
    <cellStyle name="Comma [0] 2 7" xfId="117"/>
    <cellStyle name="Comma [0] 2 7 2" xfId="916"/>
    <cellStyle name="Comma [0] 2 8" xfId="118"/>
    <cellStyle name="Comma [0] 2 8 2" xfId="917"/>
    <cellStyle name="Comma [0] 2 8 3" xfId="1548"/>
    <cellStyle name="Comma [0] 2 9" xfId="119"/>
    <cellStyle name="Comma [0] 2 9 2" xfId="918"/>
    <cellStyle name="Comma [0] 2 9 3" xfId="1549"/>
    <cellStyle name="Comma [0] 2_Trial Balance Apr11-Mar12 Oil MillA" xfId="919"/>
    <cellStyle name="Comma [0] 21" xfId="920"/>
    <cellStyle name="Comma [0] 21 2" xfId="921"/>
    <cellStyle name="Comma [0] 21 3" xfId="922"/>
    <cellStyle name="Comma [0] 3" xfId="24"/>
    <cellStyle name="Comma [0] 3 2" xfId="58"/>
    <cellStyle name="Comma [0] 3 2 2" xfId="923"/>
    <cellStyle name="Comma [0] 3 3" xfId="120"/>
    <cellStyle name="Comma [0] 3 3 2" xfId="924"/>
    <cellStyle name="Comma [0] 3 4" xfId="121"/>
    <cellStyle name="Comma [0] 3 5" xfId="122"/>
    <cellStyle name="Comma [0] 3 5 2" xfId="123"/>
    <cellStyle name="Comma [0] 3 6" xfId="124"/>
    <cellStyle name="Comma [0] 3 6 2" xfId="925"/>
    <cellStyle name="Comma [0] 3 6 2 2" xfId="926"/>
    <cellStyle name="Comma [0] 3 6 2 2 2" xfId="1550"/>
    <cellStyle name="Comma [0] 3 6 2 3" xfId="1551"/>
    <cellStyle name="Comma [0] 4" xfId="28"/>
    <cellStyle name="Comma [0] 4 2" xfId="62"/>
    <cellStyle name="Comma [0] 4 2 2" xfId="1552"/>
    <cellStyle name="Comma [0] 4 3" xfId="63"/>
    <cellStyle name="Comma [0] 4 3 2" xfId="1553"/>
    <cellStyle name="Comma [0] 4 4" xfId="87"/>
    <cellStyle name="Comma [0] 4 4 2" xfId="1554"/>
    <cellStyle name="Comma [0] 4 4 3" xfId="1555"/>
    <cellStyle name="Comma [0] 4 5" xfId="927"/>
    <cellStyle name="Comma [0] 4 6" xfId="928"/>
    <cellStyle name="Comma [0] 4 7" xfId="330"/>
    <cellStyle name="Comma [0] 4 8" xfId="929"/>
    <cellStyle name="Comma [0] 4 8 2" xfId="1556"/>
    <cellStyle name="Comma [0] 4 8 3" xfId="1557"/>
    <cellStyle name="Comma [0] 5" xfId="29"/>
    <cellStyle name="Comma [0] 5 2" xfId="64"/>
    <cellStyle name="Comma [0] 5 2 2" xfId="125"/>
    <cellStyle name="Comma [0] 5 2 3" xfId="930"/>
    <cellStyle name="Comma [0] 5 2 3 2" xfId="1558"/>
    <cellStyle name="Comma [0] 5 3" xfId="126"/>
    <cellStyle name="Comma [0] 5 4" xfId="127"/>
    <cellStyle name="Comma [0] 5 5" xfId="931"/>
    <cellStyle name="Comma [0] 5 6" xfId="932"/>
    <cellStyle name="Comma [0] 5 7" xfId="1559"/>
    <cellStyle name="Comma [0] 6" xfId="30"/>
    <cellStyle name="Comma [0] 6 2" xfId="128"/>
    <cellStyle name="Comma [0] 6 2 2" xfId="129"/>
    <cellStyle name="Comma [0] 6 2 3" xfId="130"/>
    <cellStyle name="Comma [0] 6 2 4" xfId="131"/>
    <cellStyle name="Comma [0] 6 2 5" xfId="132"/>
    <cellStyle name="Comma [0] 6 3" xfId="133"/>
    <cellStyle name="Comma [0] 6 4" xfId="134"/>
    <cellStyle name="Comma [0] 6 5" xfId="1560"/>
    <cellStyle name="Comma [0] 7" xfId="31"/>
    <cellStyle name="Comma [0] 7 2" xfId="61"/>
    <cellStyle name="Comma [0] 7 2 2" xfId="1561"/>
    <cellStyle name="Comma [0] 7 3" xfId="933"/>
    <cellStyle name="Comma [0] 7 4" xfId="1562"/>
    <cellStyle name="Comma [0] 8" xfId="32"/>
    <cellStyle name="Comma [0] 8 2" xfId="135"/>
    <cellStyle name="Comma [0] 9" xfId="33"/>
    <cellStyle name="Comma [0] 9 2" xfId="1563"/>
    <cellStyle name="Comma [00]" xfId="136"/>
    <cellStyle name="Comma 10" xfId="34"/>
    <cellStyle name="Comma 10 10" xfId="934"/>
    <cellStyle name="Comma 10 10 2" xfId="935"/>
    <cellStyle name="Comma 10 10 3" xfId="936"/>
    <cellStyle name="Comma 10 11" xfId="937"/>
    <cellStyle name="Comma 10 11 2" xfId="938"/>
    <cellStyle name="Comma 10 11 3" xfId="939"/>
    <cellStyle name="Comma 10 12" xfId="940"/>
    <cellStyle name="Comma 10 12 2" xfId="941"/>
    <cellStyle name="Comma 10 12 3" xfId="942"/>
    <cellStyle name="Comma 10 13" xfId="943"/>
    <cellStyle name="Comma 10 13 2" xfId="944"/>
    <cellStyle name="Comma 10 13 3" xfId="945"/>
    <cellStyle name="Comma 10 14" xfId="946"/>
    <cellStyle name="Comma 10 14 2" xfId="947"/>
    <cellStyle name="Comma 10 14 3" xfId="948"/>
    <cellStyle name="Comma 10 15" xfId="949"/>
    <cellStyle name="Comma 10 15 2" xfId="950"/>
    <cellStyle name="Comma 10 15 3" xfId="951"/>
    <cellStyle name="Comma 10 16" xfId="952"/>
    <cellStyle name="Comma 10 17" xfId="953"/>
    <cellStyle name="Comma 10 2" xfId="57"/>
    <cellStyle name="Comma 10 2 2" xfId="954"/>
    <cellStyle name="Comma 10 2 3" xfId="955"/>
    <cellStyle name="Comma 10 3" xfId="332"/>
    <cellStyle name="Comma 10 3 2" xfId="956"/>
    <cellStyle name="Comma 10 3 3" xfId="957"/>
    <cellStyle name="Comma 10 4" xfId="958"/>
    <cellStyle name="Comma 10 4 2" xfId="959"/>
    <cellStyle name="Comma 10 4 3" xfId="960"/>
    <cellStyle name="Comma 10 5" xfId="961"/>
    <cellStyle name="Comma 10 5 2" xfId="962"/>
    <cellStyle name="Comma 10 5 3" xfId="963"/>
    <cellStyle name="Comma 10 6" xfId="964"/>
    <cellStyle name="Comma 10 6 2" xfId="965"/>
    <cellStyle name="Comma 10 6 3" xfId="966"/>
    <cellStyle name="Comma 10 7" xfId="967"/>
    <cellStyle name="Comma 10 7 2" xfId="968"/>
    <cellStyle name="Comma 10 7 3" xfId="969"/>
    <cellStyle name="Comma 10 8" xfId="970"/>
    <cellStyle name="Comma 10 8 2" xfId="971"/>
    <cellStyle name="Comma 10 8 3" xfId="972"/>
    <cellStyle name="Comma 10 9" xfId="973"/>
    <cellStyle name="Comma 10 9 2" xfId="974"/>
    <cellStyle name="Comma 10 9 3" xfId="975"/>
    <cellStyle name="Comma 11" xfId="88"/>
    <cellStyle name="Comma 11 10" xfId="976"/>
    <cellStyle name="Comma 11 10 2" xfId="977"/>
    <cellStyle name="Comma 11 10 3" xfId="978"/>
    <cellStyle name="Comma 11 11" xfId="979"/>
    <cellStyle name="Comma 11 11 2" xfId="980"/>
    <cellStyle name="Comma 11 11 3" xfId="981"/>
    <cellStyle name="Comma 11 12" xfId="982"/>
    <cellStyle name="Comma 11 12 2" xfId="983"/>
    <cellStyle name="Comma 11 12 3" xfId="984"/>
    <cellStyle name="Comma 11 13" xfId="985"/>
    <cellStyle name="Comma 11 13 2" xfId="986"/>
    <cellStyle name="Comma 11 13 3" xfId="987"/>
    <cellStyle name="Comma 11 14" xfId="988"/>
    <cellStyle name="Comma 11 14 2" xfId="989"/>
    <cellStyle name="Comma 11 14 3" xfId="990"/>
    <cellStyle name="Comma 11 15" xfId="991"/>
    <cellStyle name="Comma 11 15 2" xfId="992"/>
    <cellStyle name="Comma 11 15 3" xfId="993"/>
    <cellStyle name="Comma 11 16" xfId="994"/>
    <cellStyle name="Comma 11 17" xfId="995"/>
    <cellStyle name="Comma 11 18" xfId="996"/>
    <cellStyle name="Comma 11 2" xfId="137"/>
    <cellStyle name="Comma 11 2 2" xfId="997"/>
    <cellStyle name="Comma 11 2 3" xfId="998"/>
    <cellStyle name="Comma 11 2 4" xfId="999"/>
    <cellStyle name="Comma 11 3" xfId="1000"/>
    <cellStyle name="Comma 11 3 2" xfId="1001"/>
    <cellStyle name="Comma 11 3 3" xfId="1002"/>
    <cellStyle name="Comma 11 4" xfId="1003"/>
    <cellStyle name="Comma 11 4 2" xfId="1004"/>
    <cellStyle name="Comma 11 4 3" xfId="1005"/>
    <cellStyle name="Comma 11 5" xfId="1006"/>
    <cellStyle name="Comma 11 5 2" xfId="1007"/>
    <cellStyle name="Comma 11 5 3" xfId="1008"/>
    <cellStyle name="Comma 11 6" xfId="1009"/>
    <cellStyle name="Comma 11 6 2" xfId="1010"/>
    <cellStyle name="Comma 11 6 3" xfId="1011"/>
    <cellStyle name="Comma 11 7" xfId="1012"/>
    <cellStyle name="Comma 11 7 2" xfId="1013"/>
    <cellStyle name="Comma 11 7 3" xfId="1014"/>
    <cellStyle name="Comma 11 8" xfId="1015"/>
    <cellStyle name="Comma 11 8 2" xfId="1016"/>
    <cellStyle name="Comma 11 8 3" xfId="1017"/>
    <cellStyle name="Comma 11 9" xfId="1018"/>
    <cellStyle name="Comma 11 9 2" xfId="1019"/>
    <cellStyle name="Comma 11 9 3" xfId="1020"/>
    <cellStyle name="Comma 12" xfId="138"/>
    <cellStyle name="Comma 12 10" xfId="1021"/>
    <cellStyle name="Comma 12 10 2" xfId="1022"/>
    <cellStyle name="Comma 12 10 3" xfId="1023"/>
    <cellStyle name="Comma 12 11" xfId="1024"/>
    <cellStyle name="Comma 12 11 2" xfId="1025"/>
    <cellStyle name="Comma 12 11 3" xfId="1026"/>
    <cellStyle name="Comma 12 12" xfId="1027"/>
    <cellStyle name="Comma 12 12 2" xfId="1028"/>
    <cellStyle name="Comma 12 12 3" xfId="1029"/>
    <cellStyle name="Comma 12 13" xfId="1030"/>
    <cellStyle name="Comma 12 13 2" xfId="1031"/>
    <cellStyle name="Comma 12 13 3" xfId="1032"/>
    <cellStyle name="Comma 12 14" xfId="1033"/>
    <cellStyle name="Comma 12 14 2" xfId="1034"/>
    <cellStyle name="Comma 12 14 3" xfId="1035"/>
    <cellStyle name="Comma 12 15" xfId="1036"/>
    <cellStyle name="Comma 12 15 2" xfId="1037"/>
    <cellStyle name="Comma 12 15 3" xfId="1038"/>
    <cellStyle name="Comma 12 16" xfId="1039"/>
    <cellStyle name="Comma 12 17" xfId="1040"/>
    <cellStyle name="Comma 12 18" xfId="1041"/>
    <cellStyle name="Comma 12 2" xfId="139"/>
    <cellStyle name="Comma 12 2 2" xfId="1042"/>
    <cellStyle name="Comma 12 2 3" xfId="1043"/>
    <cellStyle name="Comma 12 2 4" xfId="1044"/>
    <cellStyle name="Comma 12 3" xfId="1045"/>
    <cellStyle name="Comma 12 3 2" xfId="1046"/>
    <cellStyle name="Comma 12 3 3" xfId="1047"/>
    <cellStyle name="Comma 12 4" xfId="1048"/>
    <cellStyle name="Comma 12 4 2" xfId="1049"/>
    <cellStyle name="Comma 12 4 3" xfId="1050"/>
    <cellStyle name="Comma 12 5" xfId="1051"/>
    <cellStyle name="Comma 12 5 2" xfId="1052"/>
    <cellStyle name="Comma 12 5 3" xfId="1053"/>
    <cellStyle name="Comma 12 6" xfId="1054"/>
    <cellStyle name="Comma 12 6 2" xfId="1055"/>
    <cellStyle name="Comma 12 6 3" xfId="1056"/>
    <cellStyle name="Comma 12 7" xfId="1057"/>
    <cellStyle name="Comma 12 7 2" xfId="1058"/>
    <cellStyle name="Comma 12 7 3" xfId="1059"/>
    <cellStyle name="Comma 12 8" xfId="1060"/>
    <cellStyle name="Comma 12 8 2" xfId="1061"/>
    <cellStyle name="Comma 12 8 3" xfId="1062"/>
    <cellStyle name="Comma 12 9" xfId="1063"/>
    <cellStyle name="Comma 12 9 2" xfId="1064"/>
    <cellStyle name="Comma 12 9 3" xfId="1065"/>
    <cellStyle name="Comma 13" xfId="140"/>
    <cellStyle name="Comma 13 2" xfId="1066"/>
    <cellStyle name="Comma 14" xfId="141"/>
    <cellStyle name="Comma 14 2" xfId="142"/>
    <cellStyle name="Comma 14 3" xfId="1067"/>
    <cellStyle name="Comma 15" xfId="143"/>
    <cellStyle name="Comma 15 2" xfId="144"/>
    <cellStyle name="Comma 15 3" xfId="1068"/>
    <cellStyle name="Comma 16" xfId="145"/>
    <cellStyle name="Comma 16 2" xfId="146"/>
    <cellStyle name="Comma 16 3" xfId="1069"/>
    <cellStyle name="Comma 17" xfId="147"/>
    <cellStyle name="Comma 17 2" xfId="148"/>
    <cellStyle name="Comma 17 3" xfId="1070"/>
    <cellStyle name="Comma 17 4" xfId="1564"/>
    <cellStyle name="Comma 17 5" xfId="1565"/>
    <cellStyle name="Comma 17 6" xfId="1566"/>
    <cellStyle name="Comma 18" xfId="149"/>
    <cellStyle name="Comma 18 2" xfId="150"/>
    <cellStyle name="Comma 18 2 2" xfId="1071"/>
    <cellStyle name="Comma 18 2 3" xfId="1072"/>
    <cellStyle name="Comma 18 2 4" xfId="1073"/>
    <cellStyle name="Comma 18 3" xfId="1074"/>
    <cellStyle name="Comma 19" xfId="151"/>
    <cellStyle name="Comma 19 2" xfId="152"/>
    <cellStyle name="Comma 19 2 2" xfId="1075"/>
    <cellStyle name="Comma 19 2 3" xfId="1076"/>
    <cellStyle name="Comma 19 2 4" xfId="1077"/>
    <cellStyle name="Comma 19 3" xfId="1078"/>
    <cellStyle name="Comma 2" xfId="3"/>
    <cellStyle name="Comma 2 10" xfId="1079"/>
    <cellStyle name="Comma 2 11" xfId="1080"/>
    <cellStyle name="Comma 2 11 2" xfId="1567"/>
    <cellStyle name="Comma 2 12" xfId="1081"/>
    <cellStyle name="Comma 2 12 2" xfId="1568"/>
    <cellStyle name="Comma 2 13" xfId="1082"/>
    <cellStyle name="Comma 2 13 2" xfId="1569"/>
    <cellStyle name="Comma 2 14" xfId="1083"/>
    <cellStyle name="Comma 2 14 2" xfId="1570"/>
    <cellStyle name="Comma 2 15" xfId="1084"/>
    <cellStyle name="Comma 2 15 2" xfId="1571"/>
    <cellStyle name="Comma 2 16" xfId="1085"/>
    <cellStyle name="Comma 2 16 2" xfId="1572"/>
    <cellStyle name="Comma 2 17" xfId="1086"/>
    <cellStyle name="Comma 2 17 2" xfId="1573"/>
    <cellStyle name="Comma 2 18" xfId="1087"/>
    <cellStyle name="Comma 2 18 2" xfId="1574"/>
    <cellStyle name="Comma 2 19" xfId="1088"/>
    <cellStyle name="Comma 2 19 2" xfId="1575"/>
    <cellStyle name="Comma 2 2" xfId="4"/>
    <cellStyle name="Comma 2 2 10" xfId="1089"/>
    <cellStyle name="Comma 2 2 11" xfId="1090"/>
    <cellStyle name="Comma 2 2 12" xfId="1091"/>
    <cellStyle name="Comma 2 2 13" xfId="1092"/>
    <cellStyle name="Comma 2 2 14" xfId="1093"/>
    <cellStyle name="Comma 2 2 15" xfId="1094"/>
    <cellStyle name="Comma 2 2 16" xfId="1095"/>
    <cellStyle name="Comma 2 2 2" xfId="153"/>
    <cellStyle name="Comma 2 2 2 2" xfId="1096"/>
    <cellStyle name="Comma 2 2 3" xfId="1097"/>
    <cellStyle name="Comma 2 2 3 2" xfId="1576"/>
    <cellStyle name="Comma 2 2 4" xfId="1098"/>
    <cellStyle name="Comma 2 2 4 2" xfId="1577"/>
    <cellStyle name="Comma 2 2 5" xfId="1099"/>
    <cellStyle name="Comma 2 2 6" xfId="1100"/>
    <cellStyle name="Comma 2 2 7" xfId="1101"/>
    <cellStyle name="Comma 2 2 8" xfId="1102"/>
    <cellStyle name="Comma 2 2 9" xfId="1103"/>
    <cellStyle name="Comma 2 20" xfId="1104"/>
    <cellStyle name="Comma 2 3" xfId="35"/>
    <cellStyle name="Comma 2 3 2" xfId="154"/>
    <cellStyle name="Comma 2 3 2 2" xfId="1578"/>
    <cellStyle name="Comma 2 3 3" xfId="1105"/>
    <cellStyle name="Comma 2 4" xfId="36"/>
    <cellStyle name="Comma 2 4 2" xfId="155"/>
    <cellStyle name="Comma 2 5" xfId="156"/>
    <cellStyle name="Comma 2 5 2" xfId="1579"/>
    <cellStyle name="Comma 2 5 3" xfId="1580"/>
    <cellStyle name="Comma 2 6" xfId="157"/>
    <cellStyle name="Comma 2 6 2" xfId="1106"/>
    <cellStyle name="Comma 2 6 2 2" xfId="158"/>
    <cellStyle name="Comma 2 6 2 2 2" xfId="159"/>
    <cellStyle name="Comma 2 6 2 2 2 2" xfId="1581"/>
    <cellStyle name="Comma 2 6 2 2 3" xfId="1107"/>
    <cellStyle name="Comma 2 6 2 2 3 2" xfId="1582"/>
    <cellStyle name="Comma 2 6 2 2 4" xfId="1108"/>
    <cellStyle name="Comma 2 6 2 2 4 2" xfId="1109"/>
    <cellStyle name="Comma 2 6 2 2 4 2 2" xfId="1583"/>
    <cellStyle name="Comma 2 6 2 2 4 3" xfId="160"/>
    <cellStyle name="Comma 2 6 2 2 4 3 2" xfId="161"/>
    <cellStyle name="Comma 2 6 2 2 4 3 3" xfId="1584"/>
    <cellStyle name="Comma 2 6 2 2 4 4" xfId="1585"/>
    <cellStyle name="Comma 2 6 2 2 5" xfId="1586"/>
    <cellStyle name="Comma 2 6 2 3" xfId="1587"/>
    <cellStyle name="Comma 2 6 3" xfId="1110"/>
    <cellStyle name="Comma 2 6 3 2" xfId="1588"/>
    <cellStyle name="Comma 2 6 4" xfId="1589"/>
    <cellStyle name="Comma 2 7" xfId="162"/>
    <cellStyle name="Comma 2 7 2" xfId="1590"/>
    <cellStyle name="Comma 2 8" xfId="163"/>
    <cellStyle name="Comma 2 8 2" xfId="1591"/>
    <cellStyle name="Comma 2 9" xfId="1111"/>
    <cellStyle name="Comma 2 9 2" xfId="1592"/>
    <cellStyle name="Comma 20" xfId="164"/>
    <cellStyle name="Comma 20 2" xfId="1112"/>
    <cellStyle name="Comma 20 2 2" xfId="1113"/>
    <cellStyle name="Comma 20 2 3" xfId="1114"/>
    <cellStyle name="Comma 20 3" xfId="1593"/>
    <cellStyle name="Comma 21" xfId="165"/>
    <cellStyle name="Comma 21 2" xfId="1115"/>
    <cellStyle name="Comma 21 3" xfId="1116"/>
    <cellStyle name="Comma 22" xfId="166"/>
    <cellStyle name="Comma 22 2" xfId="1117"/>
    <cellStyle name="Comma 22 3" xfId="1118"/>
    <cellStyle name="Comma 23" xfId="1119"/>
    <cellStyle name="Comma 23 2" xfId="1120"/>
    <cellStyle name="Comma 23 3" xfId="1121"/>
    <cellStyle name="Comma 24" xfId="1122"/>
    <cellStyle name="Comma 24 2" xfId="1123"/>
    <cellStyle name="Comma 24 3" xfId="1124"/>
    <cellStyle name="Comma 25" xfId="1125"/>
    <cellStyle name="Comma 25 2" xfId="1594"/>
    <cellStyle name="Comma 26" xfId="1503"/>
    <cellStyle name="Comma 27" xfId="1505"/>
    <cellStyle name="Comma 3" xfId="5"/>
    <cellStyle name="Comma 3 10" xfId="1126"/>
    <cellStyle name="Comma 3 10 2" xfId="1127"/>
    <cellStyle name="Comma 3 11" xfId="1128"/>
    <cellStyle name="Comma 3 12" xfId="1129"/>
    <cellStyle name="Comma 3 13" xfId="1595"/>
    <cellStyle name="Comma 3 2" xfId="37"/>
    <cellStyle name="Comma 3 2 10" xfId="1130"/>
    <cellStyle name="Comma 3 2 2" xfId="1131"/>
    <cellStyle name="Comma 3 2 3" xfId="1132"/>
    <cellStyle name="Comma 3 2 4" xfId="1133"/>
    <cellStyle name="Comma 3 2 5" xfId="1134"/>
    <cellStyle name="Comma 3 2 6" xfId="1135"/>
    <cellStyle name="Comma 3 2 7" xfId="1136"/>
    <cellStyle name="Comma 3 2 8" xfId="1137"/>
    <cellStyle name="Comma 3 2 9" xfId="1138"/>
    <cellStyle name="Comma 3 3" xfId="38"/>
    <cellStyle name="Comma 3 3 2" xfId="39"/>
    <cellStyle name="Comma 3 3 3" xfId="1139"/>
    <cellStyle name="Comma 3 4" xfId="40"/>
    <cellStyle name="Comma 3 4 2" xfId="1140"/>
    <cellStyle name="Comma 3 4 3" xfId="1141"/>
    <cellStyle name="Comma 3 5" xfId="167"/>
    <cellStyle name="Comma 3 5 2" xfId="1142"/>
    <cellStyle name="Comma 3 5 2 2" xfId="1143"/>
    <cellStyle name="Comma 3 5 2 2 2" xfId="1144"/>
    <cellStyle name="Comma 3 5 2 2 2 2" xfId="1596"/>
    <cellStyle name="Comma 3 5 2 2 3" xfId="1145"/>
    <cellStyle name="Comma 3 5 2 2 3 2" xfId="1597"/>
    <cellStyle name="Comma 3 5 2 2 4" xfId="1598"/>
    <cellStyle name="Comma 3 5 2 3" xfId="1146"/>
    <cellStyle name="Comma 3 5 2 3 2" xfId="1599"/>
    <cellStyle name="Comma 3 5 3" xfId="1147"/>
    <cellStyle name="Comma 3 6" xfId="1148"/>
    <cellStyle name="Comma 3 6 2" xfId="1149"/>
    <cellStyle name="Comma 3 7" xfId="1150"/>
    <cellStyle name="Comma 3 7 2" xfId="1151"/>
    <cellStyle name="Comma 3 8" xfId="1152"/>
    <cellStyle name="Comma 3 8 2" xfId="1153"/>
    <cellStyle name="Comma 3 9" xfId="1154"/>
    <cellStyle name="Comma 3 9 2" xfId="1155"/>
    <cellStyle name="Comma 3_Trial Balance Apr11-Mar12 Oil MillA" xfId="1156"/>
    <cellStyle name="Comma 4" xfId="6"/>
    <cellStyle name="Comma 4 10" xfId="1157"/>
    <cellStyle name="Comma 4 10 2" xfId="1158"/>
    <cellStyle name="Comma 4 10 3" xfId="1159"/>
    <cellStyle name="Comma 4 11" xfId="1160"/>
    <cellStyle name="Comma 4 12" xfId="1161"/>
    <cellStyle name="Comma 4 13" xfId="1162"/>
    <cellStyle name="Comma 4 2" xfId="14"/>
    <cellStyle name="Comma 4 2 2" xfId="168"/>
    <cellStyle name="Comma 4 2 2 2" xfId="1600"/>
    <cellStyle name="Comma 4 2 3" xfId="1163"/>
    <cellStyle name="Comma 4 2 4" xfId="1164"/>
    <cellStyle name="Comma 4 3" xfId="15"/>
    <cellStyle name="Comma 4 3 2" xfId="1165"/>
    <cellStyle name="Comma 4 4" xfId="169"/>
    <cellStyle name="Comma 4 4 2" xfId="1166"/>
    <cellStyle name="Comma 4 4 3" xfId="1167"/>
    <cellStyle name="Comma 4 5" xfId="1168"/>
    <cellStyle name="Comma 4 5 2" xfId="1169"/>
    <cellStyle name="Comma 4 5 3" xfId="1170"/>
    <cellStyle name="Comma 4 6" xfId="1171"/>
    <cellStyle name="Comma 4 6 2" xfId="1172"/>
    <cellStyle name="Comma 4 6 3" xfId="1173"/>
    <cellStyle name="Comma 4 7" xfId="1174"/>
    <cellStyle name="Comma 4 7 2" xfId="1175"/>
    <cellStyle name="Comma 4 7 3" xfId="1176"/>
    <cellStyle name="Comma 4 8" xfId="1177"/>
    <cellStyle name="Comma 4 8 2" xfId="1178"/>
    <cellStyle name="Comma 4 8 3" xfId="1179"/>
    <cellStyle name="Comma 4 9" xfId="1180"/>
    <cellStyle name="Comma 4 9 2" xfId="1181"/>
    <cellStyle name="Comma 4 9 3" xfId="1182"/>
    <cellStyle name="Comma 5" xfId="10"/>
    <cellStyle name="Comma 5 2" xfId="41"/>
    <cellStyle name="Comma 5 2 2" xfId="170"/>
    <cellStyle name="Comma 5 2 3" xfId="1183"/>
    <cellStyle name="Comma 5 3" xfId="171"/>
    <cellStyle name="Comma 5 3 2" xfId="172"/>
    <cellStyle name="Comma 5 4" xfId="173"/>
    <cellStyle name="Comma 6" xfId="26"/>
    <cellStyle name="Comma 6 10" xfId="1184"/>
    <cellStyle name="Comma 6 10 2" xfId="1185"/>
    <cellStyle name="Comma 6 10 3" xfId="1186"/>
    <cellStyle name="Comma 6 11" xfId="1187"/>
    <cellStyle name="Comma 6 11 2" xfId="1188"/>
    <cellStyle name="Comma 6 11 3" xfId="1189"/>
    <cellStyle name="Comma 6 12" xfId="1190"/>
    <cellStyle name="Comma 6 12 2" xfId="1191"/>
    <cellStyle name="Comma 6 12 3" xfId="1192"/>
    <cellStyle name="Comma 6 13" xfId="1193"/>
    <cellStyle name="Comma 6 13 2" xfId="1194"/>
    <cellStyle name="Comma 6 13 3" xfId="1195"/>
    <cellStyle name="Comma 6 14" xfId="1196"/>
    <cellStyle name="Comma 6 14 2" xfId="1197"/>
    <cellStyle name="Comma 6 14 3" xfId="1198"/>
    <cellStyle name="Comma 6 15" xfId="1199"/>
    <cellStyle name="Comma 6 15 2" xfId="1200"/>
    <cellStyle name="Comma 6 15 3" xfId="1201"/>
    <cellStyle name="Comma 6 16" xfId="1202"/>
    <cellStyle name="Comma 6 17" xfId="1203"/>
    <cellStyle name="Comma 6 18" xfId="1204"/>
    <cellStyle name="Comma 6 19" xfId="1601"/>
    <cellStyle name="Comma 6 2" xfId="65"/>
    <cellStyle name="Comma 6 2 2" xfId="66"/>
    <cellStyle name="Comma 6 2 2 2" xfId="1602"/>
    <cellStyle name="Comma 6 2 3" xfId="174"/>
    <cellStyle name="Comma 6 2 3 2" xfId="1205"/>
    <cellStyle name="Comma 6 2 4" xfId="175"/>
    <cellStyle name="Comma 6 2 5" xfId="1206"/>
    <cellStyle name="Comma 6 2 5 2" xfId="1603"/>
    <cellStyle name="Comma 6 3" xfId="67"/>
    <cellStyle name="Comma 6 3 2" xfId="1207"/>
    <cellStyle name="Comma 6 3 3" xfId="1208"/>
    <cellStyle name="Comma 6 3 4" xfId="1604"/>
    <cellStyle name="Comma 6 4" xfId="176"/>
    <cellStyle name="Comma 6 4 2" xfId="1209"/>
    <cellStyle name="Comma 6 4 3" xfId="1210"/>
    <cellStyle name="Comma 6 4 4" xfId="1605"/>
    <cellStyle name="Comma 6 5" xfId="1211"/>
    <cellStyle name="Comma 6 5 2" xfId="1212"/>
    <cellStyle name="Comma 6 5 3" xfId="1213"/>
    <cellStyle name="Comma 6 6" xfId="1214"/>
    <cellStyle name="Comma 6 6 2" xfId="1215"/>
    <cellStyle name="Comma 6 6 3" xfId="1216"/>
    <cellStyle name="Comma 6 7" xfId="1217"/>
    <cellStyle name="Comma 6 7 2" xfId="1218"/>
    <cellStyle name="Comma 6 7 3" xfId="1219"/>
    <cellStyle name="Comma 6 8" xfId="1220"/>
    <cellStyle name="Comma 6 8 2" xfId="1221"/>
    <cellStyle name="Comma 6 8 3" xfId="1222"/>
    <cellStyle name="Comma 6 9" xfId="1223"/>
    <cellStyle name="Comma 6 9 2" xfId="1224"/>
    <cellStyle name="Comma 6 9 3" xfId="1225"/>
    <cellStyle name="Comma 7" xfId="42"/>
    <cellStyle name="Comma 7 2" xfId="43"/>
    <cellStyle name="Comma 7 2 2" xfId="60"/>
    <cellStyle name="Comma 7 2 2 2" xfId="1226"/>
    <cellStyle name="Comma 7 2 2 3" xfId="1227"/>
    <cellStyle name="Comma 7 2 2 4" xfId="1606"/>
    <cellStyle name="Comma 7 2 3" xfId="68"/>
    <cellStyle name="Comma 7 2 3 2" xfId="1607"/>
    <cellStyle name="Comma 7 2 4" xfId="69"/>
    <cellStyle name="Comma 7 2 5" xfId="1608"/>
    <cellStyle name="Comma 7 3" xfId="1609"/>
    <cellStyle name="Comma 8" xfId="44"/>
    <cellStyle name="Comma 8 2" xfId="177"/>
    <cellStyle name="Comma 8 3" xfId="1610"/>
    <cellStyle name="Comma 9" xfId="45"/>
    <cellStyle name="Comma 9 2" xfId="178"/>
    <cellStyle name="Comma 9 3" xfId="179"/>
    <cellStyle name="Comma 9 3 2" xfId="180"/>
    <cellStyle name="Comma 9 4" xfId="1228"/>
    <cellStyle name="Copied" xfId="181"/>
    <cellStyle name="Currency (0.00)" xfId="1229"/>
    <cellStyle name="Currency (0.00) 2" xfId="1611"/>
    <cellStyle name="Currency (0.00) 3" xfId="1612"/>
    <cellStyle name="Currency [0] 2" xfId="12"/>
    <cellStyle name="Currency [0] 2 2" xfId="16"/>
    <cellStyle name="Currency [0] 3" xfId="182"/>
    <cellStyle name="Currency [0] 4" xfId="183"/>
    <cellStyle name="Currency [00]" xfId="184"/>
    <cellStyle name="Currency [1]" xfId="185"/>
    <cellStyle name="Currency [2]" xfId="186"/>
    <cellStyle name="Currency 2" xfId="187"/>
    <cellStyle name="Date [d-mmm-yy]" xfId="188"/>
    <cellStyle name="Date [mm-d-yy]" xfId="189"/>
    <cellStyle name="Date [mm-d-yyyy]" xfId="190"/>
    <cellStyle name="Date [mmm-yy]" xfId="191"/>
    <cellStyle name="Date Short" xfId="192"/>
    <cellStyle name="Enter Currency (0)" xfId="193"/>
    <cellStyle name="Enter Currency (2)" xfId="194"/>
    <cellStyle name="Enter Units (0)" xfId="195"/>
    <cellStyle name="Enter Units (1)" xfId="196"/>
    <cellStyle name="Enter Units (2)" xfId="197"/>
    <cellStyle name="Entered" xfId="198"/>
    <cellStyle name="Excel Built-in Comma" xfId="199"/>
    <cellStyle name="Excel Built-in Comma [0]" xfId="200"/>
    <cellStyle name="Excel Built-in Normal" xfId="201"/>
    <cellStyle name="Excel Built-in Normal 2" xfId="202"/>
    <cellStyle name="Excel Built-in Normal 3" xfId="203"/>
    <cellStyle name="Explanatory Text 10" xfId="1230"/>
    <cellStyle name="Explanatory Text 11" xfId="1231"/>
    <cellStyle name="Explanatory Text 2" xfId="1232"/>
    <cellStyle name="Explanatory Text 3" xfId="1233"/>
    <cellStyle name="Explanatory Text 4" xfId="1234"/>
    <cellStyle name="Explanatory Text 5" xfId="1235"/>
    <cellStyle name="Explanatory Text 6" xfId="1236"/>
    <cellStyle name="Explanatory Text 7" xfId="1237"/>
    <cellStyle name="Explanatory Text 8" xfId="1238"/>
    <cellStyle name="Explanatory Text 9" xfId="1239"/>
    <cellStyle name="Fixed [0]" xfId="204"/>
    <cellStyle name="Good 10" xfId="1240"/>
    <cellStyle name="Good 11" xfId="1241"/>
    <cellStyle name="Good 2" xfId="1242"/>
    <cellStyle name="Good 3" xfId="1243"/>
    <cellStyle name="Good 4" xfId="1244"/>
    <cellStyle name="Good 5" xfId="1245"/>
    <cellStyle name="Good 6" xfId="1246"/>
    <cellStyle name="Good 7" xfId="1247"/>
    <cellStyle name="Good 8" xfId="1248"/>
    <cellStyle name="Good 9" xfId="1249"/>
    <cellStyle name="Grey" xfId="205"/>
    <cellStyle name="Header1" xfId="206"/>
    <cellStyle name="Header2" xfId="207"/>
    <cellStyle name="Header2 2" xfId="1613"/>
    <cellStyle name="Header2 3" xfId="1614"/>
    <cellStyle name="Heading 1 10" xfId="1250"/>
    <cellStyle name="Heading 1 11" xfId="1251"/>
    <cellStyle name="Heading 1 12" xfId="1252"/>
    <cellStyle name="Heading 1 2" xfId="1253"/>
    <cellStyle name="Heading 1 3" xfId="1254"/>
    <cellStyle name="Heading 1 4" xfId="1255"/>
    <cellStyle name="Heading 1 5" xfId="1256"/>
    <cellStyle name="Heading 1 6" xfId="1257"/>
    <cellStyle name="Heading 1 7" xfId="1258"/>
    <cellStyle name="Heading 1 8" xfId="1259"/>
    <cellStyle name="Heading 1 9" xfId="1260"/>
    <cellStyle name="Heading 2 10" xfId="1261"/>
    <cellStyle name="Heading 2 11" xfId="1262"/>
    <cellStyle name="Heading 2 12" xfId="1263"/>
    <cellStyle name="Heading 2 2" xfId="1264"/>
    <cellStyle name="Heading 2 3" xfId="1265"/>
    <cellStyle name="Heading 2 4" xfId="1266"/>
    <cellStyle name="Heading 2 5" xfId="1267"/>
    <cellStyle name="Heading 2 6" xfId="1268"/>
    <cellStyle name="Heading 2 7" xfId="1269"/>
    <cellStyle name="Heading 2 8" xfId="1270"/>
    <cellStyle name="Heading 2 9" xfId="1271"/>
    <cellStyle name="Heading 3 10" xfId="1272"/>
    <cellStyle name="Heading 3 11" xfId="1273"/>
    <cellStyle name="Heading 3 12" xfId="1274"/>
    <cellStyle name="Heading 3 2" xfId="1275"/>
    <cellStyle name="Heading 3 3" xfId="1276"/>
    <cellStyle name="Heading 3 4" xfId="1277"/>
    <cellStyle name="Heading 3 5" xfId="1278"/>
    <cellStyle name="Heading 3 6" xfId="1279"/>
    <cellStyle name="Heading 3 7" xfId="1280"/>
    <cellStyle name="Heading 3 8" xfId="1281"/>
    <cellStyle name="Heading 3 9" xfId="1282"/>
    <cellStyle name="Heading 4 10" xfId="1283"/>
    <cellStyle name="Heading 4 11" xfId="1284"/>
    <cellStyle name="Heading 4 12" xfId="1285"/>
    <cellStyle name="Heading 4 2" xfId="1286"/>
    <cellStyle name="Heading 4 3" xfId="1287"/>
    <cellStyle name="Heading 4 4" xfId="1288"/>
    <cellStyle name="Heading 4 5" xfId="1289"/>
    <cellStyle name="Heading 4 6" xfId="1290"/>
    <cellStyle name="Heading 4 7" xfId="1291"/>
    <cellStyle name="Heading 4 8" xfId="1292"/>
    <cellStyle name="Heading 4 9" xfId="1293"/>
    <cellStyle name="HEADINGS" xfId="208"/>
    <cellStyle name="HEADINGS 2" xfId="1615"/>
    <cellStyle name="HEADINGSTOP" xfId="209"/>
    <cellStyle name="Input [yellow]" xfId="210"/>
    <cellStyle name="Input [yellow] 2" xfId="1616"/>
    <cellStyle name="Input [yellow] 3" xfId="1617"/>
    <cellStyle name="Input 10" xfId="1294"/>
    <cellStyle name="Input 10 2" xfId="1295"/>
    <cellStyle name="Input 10 2 2" xfId="1618"/>
    <cellStyle name="Input 10 2 3" xfId="1619"/>
    <cellStyle name="Input 10 3" xfId="1620"/>
    <cellStyle name="Input 10 4" xfId="1621"/>
    <cellStyle name="Input 11" xfId="1296"/>
    <cellStyle name="Input 11 2" xfId="1297"/>
    <cellStyle name="Input 11 2 2" xfId="1622"/>
    <cellStyle name="Input 11 2 3" xfId="1623"/>
    <cellStyle name="Input 11 3" xfId="1624"/>
    <cellStyle name="Input 11 4" xfId="1625"/>
    <cellStyle name="Input 12" xfId="1298"/>
    <cellStyle name="Input 12 2" xfId="1626"/>
    <cellStyle name="Input 12 3" xfId="1627"/>
    <cellStyle name="Input 2" xfId="1299"/>
    <cellStyle name="Input 2 2" xfId="1300"/>
    <cellStyle name="Input 2 2 2" xfId="1628"/>
    <cellStyle name="Input 2 2 3" xfId="1629"/>
    <cellStyle name="Input 2 3" xfId="1630"/>
    <cellStyle name="Input 2 4" xfId="1631"/>
    <cellStyle name="Input 3" xfId="1301"/>
    <cellStyle name="Input 3 2" xfId="1302"/>
    <cellStyle name="Input 3 2 2" xfId="1632"/>
    <cellStyle name="Input 3 2 3" xfId="1633"/>
    <cellStyle name="Input 3 3" xfId="1634"/>
    <cellStyle name="Input 3 4" xfId="1635"/>
    <cellStyle name="Input 4" xfId="1303"/>
    <cellStyle name="Input 4 2" xfId="1304"/>
    <cellStyle name="Input 4 2 2" xfId="1636"/>
    <cellStyle name="Input 4 2 3" xfId="1637"/>
    <cellStyle name="Input 4 3" xfId="1638"/>
    <cellStyle name="Input 4 4" xfId="1639"/>
    <cellStyle name="Input 5" xfId="1305"/>
    <cellStyle name="Input 5 2" xfId="1306"/>
    <cellStyle name="Input 5 2 2" xfId="1640"/>
    <cellStyle name="Input 5 2 3" xfId="1641"/>
    <cellStyle name="Input 5 3" xfId="1642"/>
    <cellStyle name="Input 5 4" xfId="1643"/>
    <cellStyle name="Input 6" xfId="1307"/>
    <cellStyle name="Input 6 2" xfId="1308"/>
    <cellStyle name="Input 6 2 2" xfId="1644"/>
    <cellStyle name="Input 6 2 3" xfId="1645"/>
    <cellStyle name="Input 6 3" xfId="1646"/>
    <cellStyle name="Input 6 4" xfId="1647"/>
    <cellStyle name="Input 7" xfId="1309"/>
    <cellStyle name="Input 7 2" xfId="1310"/>
    <cellStyle name="Input 7 2 2" xfId="1648"/>
    <cellStyle name="Input 7 2 3" xfId="1649"/>
    <cellStyle name="Input 7 3" xfId="1650"/>
    <cellStyle name="Input 7 4" xfId="1651"/>
    <cellStyle name="Input 8" xfId="1311"/>
    <cellStyle name="Input 8 2" xfId="1312"/>
    <cellStyle name="Input 8 2 2" xfId="1652"/>
    <cellStyle name="Input 8 2 3" xfId="1653"/>
    <cellStyle name="Input 8 3" xfId="1654"/>
    <cellStyle name="Input 8 4" xfId="1655"/>
    <cellStyle name="Input 9" xfId="1313"/>
    <cellStyle name="Input 9 2" xfId="1314"/>
    <cellStyle name="Input 9 2 2" xfId="1656"/>
    <cellStyle name="Input 9 2 3" xfId="1657"/>
    <cellStyle name="Input 9 3" xfId="1658"/>
    <cellStyle name="Input 9 4" xfId="1659"/>
    <cellStyle name="Input Currency" xfId="211"/>
    <cellStyle name="Input Date" xfId="212"/>
    <cellStyle name="Input Fixed [0]" xfId="213"/>
    <cellStyle name="Input Normal" xfId="214"/>
    <cellStyle name="Input Percent" xfId="215"/>
    <cellStyle name="Input Percent [2]" xfId="216"/>
    <cellStyle name="Input Titles" xfId="217"/>
    <cellStyle name="Link Currency (0)" xfId="218"/>
    <cellStyle name="Link Currency (2)" xfId="219"/>
    <cellStyle name="Link Units (0)" xfId="220"/>
    <cellStyle name="Link Units (1)" xfId="221"/>
    <cellStyle name="Link Units (2)" xfId="222"/>
    <cellStyle name="Linked Cell 10" xfId="1315"/>
    <cellStyle name="Linked Cell 11" xfId="1316"/>
    <cellStyle name="Linked Cell 2" xfId="1317"/>
    <cellStyle name="Linked Cell 3" xfId="1318"/>
    <cellStyle name="Linked Cell 4" xfId="1319"/>
    <cellStyle name="Linked Cell 5" xfId="1320"/>
    <cellStyle name="Linked Cell 6" xfId="1321"/>
    <cellStyle name="Linked Cell 7" xfId="1322"/>
    <cellStyle name="Linked Cell 8" xfId="1323"/>
    <cellStyle name="Linked Cell 9" xfId="1324"/>
    <cellStyle name="NA is zero" xfId="223"/>
    <cellStyle name="Neutral 10" xfId="1325"/>
    <cellStyle name="Neutral 11" xfId="1326"/>
    <cellStyle name="Neutral 12" xfId="1327"/>
    <cellStyle name="Neutral 2" xfId="1328"/>
    <cellStyle name="Neutral 3" xfId="1329"/>
    <cellStyle name="Neutral 4" xfId="1330"/>
    <cellStyle name="Neutral 5" xfId="1331"/>
    <cellStyle name="Neutral 6" xfId="1332"/>
    <cellStyle name="Neutral 7" xfId="1333"/>
    <cellStyle name="Neutral 8" xfId="1334"/>
    <cellStyle name="Neutral 9" xfId="1335"/>
    <cellStyle name="Normal" xfId="0" builtinId="0"/>
    <cellStyle name="Normal - Style1" xfId="224"/>
    <cellStyle name="Normal [0]" xfId="225"/>
    <cellStyle name="Normal [1]" xfId="226"/>
    <cellStyle name="Normal [2]" xfId="227"/>
    <cellStyle name="Normal [3]" xfId="228"/>
    <cellStyle name="Normal 10" xfId="46"/>
    <cellStyle name="Normal 10 2" xfId="47"/>
    <cellStyle name="Normal 10 2 2" xfId="59"/>
    <cellStyle name="Normal 10 2 2 2" xfId="1336"/>
    <cellStyle name="Normal 10 2 2 3" xfId="1337"/>
    <cellStyle name="Normal 10 2 2 4" xfId="1660"/>
    <cellStyle name="Normal 10 2 3" xfId="70"/>
    <cellStyle name="Normal 10 2 3 2" xfId="1661"/>
    <cellStyle name="Normal 10 2 4" xfId="71"/>
    <cellStyle name="Normal 10 2 5" xfId="1662"/>
    <cellStyle name="Normal 10 3" xfId="72"/>
    <cellStyle name="Normal 10 3 2" xfId="1663"/>
    <cellStyle name="Normal 10 4" xfId="1664"/>
    <cellStyle name="Normal 11" xfId="48"/>
    <cellStyle name="Normal 11 2" xfId="229"/>
    <cellStyle name="Normal 11 3" xfId="230"/>
    <cellStyle name="Normal 11 3 2" xfId="231"/>
    <cellStyle name="Normal 12" xfId="49"/>
    <cellStyle name="Normal 12 2" xfId="1338"/>
    <cellStyle name="Normal 12 3" xfId="1339"/>
    <cellStyle name="Normal 13" xfId="50"/>
    <cellStyle name="Normal 13 2" xfId="56"/>
    <cellStyle name="Normal 13 2 2" xfId="232"/>
    <cellStyle name="Normal 13 2 2 2" xfId="233"/>
    <cellStyle name="Normal 13 2 2 2 2" xfId="234"/>
    <cellStyle name="Normal 13 2 2 2 2 2" xfId="1665"/>
    <cellStyle name="Normal 13 2 2 2 3" xfId="1666"/>
    <cellStyle name="Normal 13 2 2 3" xfId="1340"/>
    <cellStyle name="Normal 13 2 2 3 2" xfId="1341"/>
    <cellStyle name="Normal 13 2 2 3 2 2" xfId="1667"/>
    <cellStyle name="Normal 13 2 2 3 3" xfId="1342"/>
    <cellStyle name="Normal 13 2 2 3 3 2" xfId="1668"/>
    <cellStyle name="Normal 13 2 2 3 4" xfId="1669"/>
    <cellStyle name="Normal 13 2 2 4" xfId="1670"/>
    <cellStyle name="Normal 13 2 3" xfId="1671"/>
    <cellStyle name="Normal 13 3" xfId="235"/>
    <cellStyle name="Normal 13 3 2" xfId="1672"/>
    <cellStyle name="Normal 13 4" xfId="334"/>
    <cellStyle name="Normal 13 4 2" xfId="1673"/>
    <cellStyle name="Normal 13 5" xfId="1343"/>
    <cellStyle name="Normal 13 5 2" xfId="1344"/>
    <cellStyle name="Normal 13 5 3" xfId="331"/>
    <cellStyle name="Normal 13 5 4" xfId="1674"/>
    <cellStyle name="Normal 13 6" xfId="1675"/>
    <cellStyle name="Normal 14" xfId="236"/>
    <cellStyle name="Normal 14 2" xfId="237"/>
    <cellStyle name="Normal 14 3" xfId="238"/>
    <cellStyle name="Normal 15" xfId="239"/>
    <cellStyle name="Normal 16" xfId="240"/>
    <cellStyle name="Normal 16 2" xfId="1345"/>
    <cellStyle name="Normal 17" xfId="241"/>
    <cellStyle name="Normal 18" xfId="242"/>
    <cellStyle name="Normal 19" xfId="243"/>
    <cellStyle name="Normal 2" xfId="7"/>
    <cellStyle name="Normal 2 10" xfId="244"/>
    <cellStyle name="Normal 2 10 2" xfId="1676"/>
    <cellStyle name="Normal 2 10 2 2" xfId="1677"/>
    <cellStyle name="Normal 2 11" xfId="245"/>
    <cellStyle name="Normal 2 11 2" xfId="246"/>
    <cellStyle name="Normal 2 11 3" xfId="1346"/>
    <cellStyle name="Normal 2 11 3 2" xfId="1347"/>
    <cellStyle name="Normal 2 11 3 2 2" xfId="1348"/>
    <cellStyle name="Normal 2 11 3 2 2 2" xfId="1678"/>
    <cellStyle name="Normal 2 11 3 2 3" xfId="1349"/>
    <cellStyle name="Normal 2 11 3 2 3 2" xfId="1350"/>
    <cellStyle name="Normal 2 11 3 2 3 2 2" xfId="1351"/>
    <cellStyle name="Normal 2 11 3 2 3 2 2 2" xfId="1679"/>
    <cellStyle name="Normal 2 11 3 2 3 2 3" xfId="1680"/>
    <cellStyle name="Normal 2 11 3 2 3 3" xfId="1681"/>
    <cellStyle name="Normal 2 11 3 2 4" xfId="1682"/>
    <cellStyle name="Normal 2 11 3 3" xfId="1683"/>
    <cellStyle name="Normal 2 11 4" xfId="1352"/>
    <cellStyle name="Normal 2 11 4 2" xfId="1684"/>
    <cellStyle name="Normal 2 11 5" xfId="1685"/>
    <cellStyle name="Normal 2 12" xfId="247"/>
    <cellStyle name="Normal 2 12 2" xfId="1686"/>
    <cellStyle name="Normal 2 13" xfId="1353"/>
    <cellStyle name="Normal 2 14" xfId="1354"/>
    <cellStyle name="Normal 2 15" xfId="1355"/>
    <cellStyle name="Normal 2 16" xfId="1356"/>
    <cellStyle name="Normal 2 17" xfId="1357"/>
    <cellStyle name="Normal 2 18" xfId="1358"/>
    <cellStyle name="Normal 2 19" xfId="1687"/>
    <cellStyle name="Normal 2 2" xfId="2"/>
    <cellStyle name="Normal 2 2 10" xfId="1359"/>
    <cellStyle name="Normal 2 2 11" xfId="1360"/>
    <cellStyle name="Normal 2 2 11 2" xfId="1688"/>
    <cellStyle name="Normal 2 2 2" xfId="8"/>
    <cellStyle name="Normal 2 2 2 2" xfId="1361"/>
    <cellStyle name="Normal 2 2 2 2 2" xfId="1362"/>
    <cellStyle name="Normal 2 2 3" xfId="248"/>
    <cellStyle name="Normal 2 2 4" xfId="249"/>
    <cellStyle name="Normal 2 2 4 2" xfId="1689"/>
    <cellStyle name="Normal 2 2 5" xfId="1363"/>
    <cellStyle name="Normal 2 2 6" xfId="1364"/>
    <cellStyle name="Normal 2 2 7" xfId="1365"/>
    <cellStyle name="Normal 2 2 8" xfId="1366"/>
    <cellStyle name="Normal 2 2 9" xfId="1367"/>
    <cellStyle name="Normal 2 3" xfId="1"/>
    <cellStyle name="Normal 2 3 2" xfId="250"/>
    <cellStyle name="Normal 2 4" xfId="17"/>
    <cellStyle name="Normal 2 4 2" xfId="251"/>
    <cellStyle name="Normal 2 4 2 2" xfId="252"/>
    <cellStyle name="Normal 2 4 2 2 2" xfId="253"/>
    <cellStyle name="Normal 2 4 2 2 2 2" xfId="1690"/>
    <cellStyle name="Normal 2 4 2 2 3" xfId="1691"/>
    <cellStyle name="Normal 2 4 2 3" xfId="1692"/>
    <cellStyle name="Normal 2 4 3" xfId="254"/>
    <cellStyle name="Normal 2 4 3 2" xfId="1693"/>
    <cellStyle name="Normal 2 5" xfId="25"/>
    <cellStyle name="Normal 2 5 2" xfId="51"/>
    <cellStyle name="Normal 2 5 3" xfId="1694"/>
    <cellStyle name="Normal 2 6" xfId="73"/>
    <cellStyle name="Normal 2 6 2" xfId="255"/>
    <cellStyle name="Normal 2 6 2 2" xfId="256"/>
    <cellStyle name="Normal 2 6 2 2 2" xfId="1695"/>
    <cellStyle name="Normal 2 6 2 3" xfId="1696"/>
    <cellStyle name="Normal 2 6 3" xfId="257"/>
    <cellStyle name="Normal 2 6 3 2" xfId="1368"/>
    <cellStyle name="Normal 2 6 3 2 2" xfId="1697"/>
    <cellStyle name="Normal 2 6 3 3" xfId="1369"/>
    <cellStyle name="Normal 2 6 3 3 2" xfId="1698"/>
    <cellStyle name="Normal 2 6 3 4" xfId="1699"/>
    <cellStyle name="Normal 2 6 4" xfId="1370"/>
    <cellStyle name="Normal 2 6 4 2" xfId="1700"/>
    <cellStyle name="Normal 2 6 5" xfId="1371"/>
    <cellStyle name="Normal 2 6 5 2" xfId="1701"/>
    <cellStyle name="Normal 2 6 6" xfId="1372"/>
    <cellStyle name="Normal 2 6 6 2" xfId="1702"/>
    <cellStyle name="Normal 2 6 7" xfId="1373"/>
    <cellStyle name="Normal 2 6 7 2" xfId="1703"/>
    <cellStyle name="Normal 2 6 8" xfId="1704"/>
    <cellStyle name="Normal 2 7" xfId="258"/>
    <cellStyle name="Normal 2 7 2" xfId="259"/>
    <cellStyle name="Normal 2 7 2 2" xfId="260"/>
    <cellStyle name="Normal 2 7 2 2 2" xfId="1705"/>
    <cellStyle name="Normal 2 7 2 3" xfId="1706"/>
    <cellStyle name="Normal 2 7 3" xfId="1707"/>
    <cellStyle name="Normal 2 8" xfId="261"/>
    <cellStyle name="Normal 2 8 2" xfId="262"/>
    <cellStyle name="Normal 2 8 2 2" xfId="1708"/>
    <cellStyle name="Normal 2 8 3" xfId="1709"/>
    <cellStyle name="Normal 2 9" xfId="263"/>
    <cellStyle name="Normal 2 9 2" xfId="1710"/>
    <cellStyle name="Normal 2_DISTRIBUSI C-R bulanan REZA " xfId="9"/>
    <cellStyle name="Normal 20" xfId="264"/>
    <cellStyle name="Normal 21" xfId="265"/>
    <cellStyle name="Normal 22" xfId="266"/>
    <cellStyle name="Normal 22 6 9 7" xfId="267"/>
    <cellStyle name="Normal 23" xfId="268"/>
    <cellStyle name="Normal 24" xfId="269"/>
    <cellStyle name="Normal 25" xfId="270"/>
    <cellStyle name="Normal 26" xfId="271"/>
    <cellStyle name="Normal 27" xfId="272"/>
    <cellStyle name="Normal 27 2" xfId="1711"/>
    <cellStyle name="Normal 28" xfId="1374"/>
    <cellStyle name="Normal 28 2" xfId="1712"/>
    <cellStyle name="Normal 29" xfId="1375"/>
    <cellStyle name="Normal 29 2" xfId="1713"/>
    <cellStyle name="Normal 3" xfId="11"/>
    <cellStyle name="Normal 3 2" xfId="18"/>
    <cellStyle name="Normal 3 2 2" xfId="273"/>
    <cellStyle name="Normal 3 3" xfId="19"/>
    <cellStyle name="Normal 3 3 2" xfId="1376"/>
    <cellStyle name="Normal 3 3 2 2" xfId="1377"/>
    <cellStyle name="Normal 3 3 2 2 2" xfId="1378"/>
    <cellStyle name="Normal 3 3 2 2 2 2" xfId="1379"/>
    <cellStyle name="Normal 3 3 2 2 2 2 2" xfId="1380"/>
    <cellStyle name="Normal 3 3 2 2 2 2 2 2" xfId="1714"/>
    <cellStyle name="Normal 3 3 2 2 2 2 3" xfId="1715"/>
    <cellStyle name="Normal 3 3 2 2 2 3" xfId="1716"/>
    <cellStyle name="Normal 3 3 2 2 3" xfId="1381"/>
    <cellStyle name="Normal 3 3 2 2 3 2" xfId="1717"/>
    <cellStyle name="Normal 3 3 2 2 4" xfId="1718"/>
    <cellStyle name="Normal 3 3 2 3" xfId="1382"/>
    <cellStyle name="Normal 3 3 2 3 2" xfId="1383"/>
    <cellStyle name="Normal 3 3 2 3 2 2" xfId="1384"/>
    <cellStyle name="Normal 3 3 2 3 2 2 2" xfId="1719"/>
    <cellStyle name="Normal 3 3 2 3 2 3" xfId="1720"/>
    <cellStyle name="Normal 3 3 2 3 3" xfId="1721"/>
    <cellStyle name="Normal 3 3 2 4" xfId="1385"/>
    <cellStyle name="Normal 3 3 2 4 2" xfId="1722"/>
    <cellStyle name="Normal 3 3 2 5" xfId="1386"/>
    <cellStyle name="Normal 3 3 2 5 2" xfId="1723"/>
    <cellStyle name="Normal 3 3 2 6" xfId="1387"/>
    <cellStyle name="Normal 3 3 2 6 2" xfId="1724"/>
    <cellStyle name="Normal 3 3 2 7" xfId="1725"/>
    <cellStyle name="Normal 3 3 3" xfId="1388"/>
    <cellStyle name="Normal 3 3 3 2" xfId="1726"/>
    <cellStyle name="Normal 3 4" xfId="274"/>
    <cellStyle name="Normal 3 4 2" xfId="1389"/>
    <cellStyle name="Normal 3 4 2 2" xfId="1390"/>
    <cellStyle name="Normal 3 4 2 2 2" xfId="1391"/>
    <cellStyle name="Normal 3 4 2 2 2 2" xfId="1727"/>
    <cellStyle name="Normal 3 4 2 2 3" xfId="1728"/>
    <cellStyle name="Normal 3 4 2 3" xfId="1729"/>
    <cellStyle name="Normal 3 4 3" xfId="1392"/>
    <cellStyle name="Normal 3 4 3 2" xfId="1730"/>
    <cellStyle name="Normal 3 4 4" xfId="1393"/>
    <cellStyle name="Normal 3 4 4 2" xfId="1731"/>
    <cellStyle name="Normal 3 4 5" xfId="1732"/>
    <cellStyle name="Normal 3 5" xfId="1502"/>
    <cellStyle name="Normal 30" xfId="1504"/>
    <cellStyle name="Normal 4" xfId="20"/>
    <cellStyle name="Normal 4 2" xfId="74"/>
    <cellStyle name="Normal 4 2 2" xfId="75"/>
    <cellStyle name="Normal 4 2 2 2" xfId="1733"/>
    <cellStyle name="Normal 4 2 3" xfId="1734"/>
    <cellStyle name="Normal 4 3" xfId="76"/>
    <cellStyle name="Normal 4 3 2" xfId="1735"/>
    <cellStyle name="Normal 4 4" xfId="77"/>
    <cellStyle name="Normal 4 4 2" xfId="1394"/>
    <cellStyle name="Normal 4 4 2 2" xfId="1736"/>
    <cellStyle name="Normal 4 4 3" xfId="1737"/>
    <cellStyle name="Normal 4 5" xfId="275"/>
    <cellStyle name="Normal 4 5 2" xfId="1738"/>
    <cellStyle name="Normal 4 6" xfId="1739"/>
    <cellStyle name="Normal 5" xfId="21"/>
    <cellStyle name="Normal 5 10" xfId="1395"/>
    <cellStyle name="Normal 5 11" xfId="1396"/>
    <cellStyle name="Normal 5 2" xfId="78"/>
    <cellStyle name="Normal 5 3" xfId="1397"/>
    <cellStyle name="Normal 5 4" xfId="1398"/>
    <cellStyle name="Normal 5 5" xfId="1399"/>
    <cellStyle name="Normal 5 6" xfId="1400"/>
    <cellStyle name="Normal 5 7" xfId="1401"/>
    <cellStyle name="Normal 5 8" xfId="1402"/>
    <cellStyle name="Normal 5 9" xfId="1403"/>
    <cellStyle name="Normal 6" xfId="23"/>
    <cellStyle name="Normal 6 10" xfId="1404"/>
    <cellStyle name="Normal 6 11" xfId="1405"/>
    <cellStyle name="Normal 6 2" xfId="52"/>
    <cellStyle name="Normal 6 2 2" xfId="89"/>
    <cellStyle name="Normal 6 3" xfId="1406"/>
    <cellStyle name="Normal 6 4" xfId="1407"/>
    <cellStyle name="Normal 6 5" xfId="1408"/>
    <cellStyle name="Normal 6 6" xfId="1409"/>
    <cellStyle name="Normal 6 7" xfId="1410"/>
    <cellStyle name="Normal 6 8" xfId="1411"/>
    <cellStyle name="Normal 6 9" xfId="1412"/>
    <cellStyle name="Normal 7" xfId="53"/>
    <cellStyle name="Normal 7 10" xfId="1413"/>
    <cellStyle name="Normal 7 11" xfId="1414"/>
    <cellStyle name="Normal 7 12" xfId="1740"/>
    <cellStyle name="Normal 7 2" xfId="79"/>
    <cellStyle name="Normal 7 2 2" xfId="1741"/>
    <cellStyle name="Normal 7 3" xfId="80"/>
    <cellStyle name="Normal 7 3 2" xfId="1742"/>
    <cellStyle name="Normal 7 4" xfId="1415"/>
    <cellStyle name="Normal 7 5" xfId="1416"/>
    <cellStyle name="Normal 7 6" xfId="1417"/>
    <cellStyle name="Normal 7 7" xfId="1418"/>
    <cellStyle name="Normal 7 8" xfId="1419"/>
    <cellStyle name="Normal 7 9" xfId="1420"/>
    <cellStyle name="Normal 8" xfId="54"/>
    <cellStyle name="Normal 8 10" xfId="1421"/>
    <cellStyle name="Normal 8 11" xfId="1422"/>
    <cellStyle name="Normal 8 12" xfId="1423"/>
    <cellStyle name="Normal 8 13" xfId="1424"/>
    <cellStyle name="Normal 8 14" xfId="1425"/>
    <cellStyle name="Normal 8 15" xfId="1426"/>
    <cellStyle name="Normal 8 16" xfId="1427"/>
    <cellStyle name="Normal 8 17" xfId="1428"/>
    <cellStyle name="Normal 8 18" xfId="1429"/>
    <cellStyle name="Normal 8 19" xfId="1430"/>
    <cellStyle name="Normal 8 2" xfId="81"/>
    <cellStyle name="Normal 8 2 2" xfId="1743"/>
    <cellStyle name="Normal 8 20" xfId="1431"/>
    <cellStyle name="Normal 8 21" xfId="1432"/>
    <cellStyle name="Normal 8 22" xfId="1433"/>
    <cellStyle name="Normal 8 23" xfId="1434"/>
    <cellStyle name="Normal 8 24" xfId="1435"/>
    <cellStyle name="Normal 8 25" xfId="1436"/>
    <cellStyle name="Normal 8 26" xfId="1744"/>
    <cellStyle name="Normal 8 3" xfId="82"/>
    <cellStyle name="Normal 8 3 2" xfId="1745"/>
    <cellStyle name="Normal 8 4" xfId="1437"/>
    <cellStyle name="Normal 8 5" xfId="1438"/>
    <cellStyle name="Normal 8 6" xfId="1439"/>
    <cellStyle name="Normal 8 7" xfId="1440"/>
    <cellStyle name="Normal 8 8" xfId="1441"/>
    <cellStyle name="Normal 8 9" xfId="1442"/>
    <cellStyle name="Normal 9" xfId="55"/>
    <cellStyle name="Normal 9 2" xfId="83"/>
    <cellStyle name="Normal 9 2 2" xfId="1746"/>
    <cellStyle name="Normal 9 3" xfId="84"/>
    <cellStyle name="Normal 9 4" xfId="1747"/>
    <cellStyle name="Normal Bold" xfId="276"/>
    <cellStyle name="Normal Pct" xfId="277"/>
    <cellStyle name="Note 10" xfId="1443"/>
    <cellStyle name="Note 10 2" xfId="1748"/>
    <cellStyle name="Note 10 3" xfId="1749"/>
    <cellStyle name="Note 11" xfId="1444"/>
    <cellStyle name="Note 11 2" xfId="1750"/>
    <cellStyle name="Note 11 3" xfId="1751"/>
    <cellStyle name="Note 2" xfId="1445"/>
    <cellStyle name="Note 2 2" xfId="1752"/>
    <cellStyle name="Note 2 3" xfId="1753"/>
    <cellStyle name="Note 3" xfId="1446"/>
    <cellStyle name="Note 3 2" xfId="1754"/>
    <cellStyle name="Note 3 3" xfId="1755"/>
    <cellStyle name="Note 4" xfId="1447"/>
    <cellStyle name="Note 4 2" xfId="1756"/>
    <cellStyle name="Note 4 3" xfId="1757"/>
    <cellStyle name="Note 5" xfId="1448"/>
    <cellStyle name="Note 5 2" xfId="1758"/>
    <cellStyle name="Note 5 3" xfId="1759"/>
    <cellStyle name="Note 6" xfId="1449"/>
    <cellStyle name="Note 6 2" xfId="1760"/>
    <cellStyle name="Note 6 3" xfId="1761"/>
    <cellStyle name="Note 7" xfId="1450"/>
    <cellStyle name="Note 7 2" xfId="1762"/>
    <cellStyle name="Note 7 3" xfId="1763"/>
    <cellStyle name="Note 8" xfId="1451"/>
    <cellStyle name="Note 8 2" xfId="1764"/>
    <cellStyle name="Note 8 3" xfId="1765"/>
    <cellStyle name="Note 9" xfId="1452"/>
    <cellStyle name="Note 9 2" xfId="1766"/>
    <cellStyle name="Note 9 3" xfId="1767"/>
    <cellStyle name="NPPESalesPct" xfId="278"/>
    <cellStyle name="NWI%S" xfId="279"/>
    <cellStyle name="Output 10" xfId="1453"/>
    <cellStyle name="Output 10 2" xfId="1768"/>
    <cellStyle name="Output 10 3" xfId="1769"/>
    <cellStyle name="Output 11" xfId="1454"/>
    <cellStyle name="Output 11 2" xfId="1770"/>
    <cellStyle name="Output 11 3" xfId="1771"/>
    <cellStyle name="Output 12" xfId="1455"/>
    <cellStyle name="Output 12 2" xfId="1772"/>
    <cellStyle name="Output 12 3" xfId="1773"/>
    <cellStyle name="Output 2" xfId="1456"/>
    <cellStyle name="Output 2 2" xfId="1774"/>
    <cellStyle name="Output 2 3" xfId="1775"/>
    <cellStyle name="Output 3" xfId="1457"/>
    <cellStyle name="Output 3 2" xfId="1776"/>
    <cellStyle name="Output 3 3" xfId="1777"/>
    <cellStyle name="Output 4" xfId="1458"/>
    <cellStyle name="Output 4 2" xfId="1778"/>
    <cellStyle name="Output 4 3" xfId="1779"/>
    <cellStyle name="Output 5" xfId="1459"/>
    <cellStyle name="Output 5 2" xfId="1780"/>
    <cellStyle name="Output 5 3" xfId="1781"/>
    <cellStyle name="Output 6" xfId="1460"/>
    <cellStyle name="Output 6 2" xfId="1782"/>
    <cellStyle name="Output 6 3" xfId="1783"/>
    <cellStyle name="Output 7" xfId="1461"/>
    <cellStyle name="Output 7 2" xfId="1784"/>
    <cellStyle name="Output 7 3" xfId="1785"/>
    <cellStyle name="Output 8" xfId="1462"/>
    <cellStyle name="Output 8 2" xfId="1786"/>
    <cellStyle name="Output 8 3" xfId="1787"/>
    <cellStyle name="Output 9" xfId="1463"/>
    <cellStyle name="Output 9 2" xfId="1788"/>
    <cellStyle name="Output 9 3" xfId="1789"/>
    <cellStyle name="pc1" xfId="280"/>
    <cellStyle name="per.style" xfId="281"/>
    <cellStyle name="Percent [0]" xfId="282"/>
    <cellStyle name="Percent [00]" xfId="283"/>
    <cellStyle name="Percent [1]" xfId="284"/>
    <cellStyle name="Percent [2]" xfId="285"/>
    <cellStyle name="Percent 2" xfId="90"/>
    <cellStyle name="Percent 2 2" xfId="1464"/>
    <cellStyle name="Percent 2 2 2" xfId="1465"/>
    <cellStyle name="Percent 3" xfId="286"/>
    <cellStyle name="Percent 3 2" xfId="287"/>
    <cellStyle name="Percent 3 3" xfId="1466"/>
    <cellStyle name="Percent 4" xfId="288"/>
    <cellStyle name="Percent 4 2" xfId="1790"/>
    <cellStyle name="Percent 5" xfId="1467"/>
    <cellStyle name="Percent 5 2" xfId="1791"/>
    <cellStyle name="PercentSales" xfId="289"/>
    <cellStyle name="PrePop Currency (0)" xfId="290"/>
    <cellStyle name="PrePop Currency (2)" xfId="291"/>
    <cellStyle name="PrePop Units (0)" xfId="292"/>
    <cellStyle name="PrePop Units (1)" xfId="293"/>
    <cellStyle name="PrePop Units (2)" xfId="294"/>
    <cellStyle name="Red font" xfId="295"/>
    <cellStyle name="regstoresfromspecstores" xfId="296"/>
    <cellStyle name="RevList" xfId="297"/>
    <cellStyle name="S0" xfId="298"/>
    <cellStyle name="S0 2" xfId="1792"/>
    <cellStyle name="S0 3" xfId="1793"/>
    <cellStyle name="S1" xfId="299"/>
    <cellStyle name="S1 2" xfId="1794"/>
    <cellStyle name="S1 3" xfId="1795"/>
    <cellStyle name="S10" xfId="300"/>
    <cellStyle name="S10 2" xfId="1796"/>
    <cellStyle name="S10 3" xfId="1797"/>
    <cellStyle name="S11" xfId="301"/>
    <cellStyle name="S11 2" xfId="1798"/>
    <cellStyle name="S11 3" xfId="1799"/>
    <cellStyle name="S12" xfId="302"/>
    <cellStyle name="S12 2" xfId="1800"/>
    <cellStyle name="S12 3" xfId="1801"/>
    <cellStyle name="S13" xfId="303"/>
    <cellStyle name="S14" xfId="304"/>
    <cellStyle name="S15" xfId="305"/>
    <cellStyle name="S16" xfId="306"/>
    <cellStyle name="S17" xfId="307"/>
    <cellStyle name="S18" xfId="308"/>
    <cellStyle name="S19" xfId="309"/>
    <cellStyle name="S2" xfId="310"/>
    <cellStyle name="S2 2" xfId="1802"/>
    <cellStyle name="S2 3" xfId="1803"/>
    <cellStyle name="S20" xfId="311"/>
    <cellStyle name="S21" xfId="312"/>
    <cellStyle name="S22" xfId="1804"/>
    <cellStyle name="S23" xfId="1805"/>
    <cellStyle name="S24" xfId="1806"/>
    <cellStyle name="S25" xfId="1807"/>
    <cellStyle name="S26" xfId="1808"/>
    <cellStyle name="S27" xfId="1809"/>
    <cellStyle name="S28" xfId="1810"/>
    <cellStyle name="S29" xfId="1811"/>
    <cellStyle name="S3" xfId="313"/>
    <cellStyle name="S3 2" xfId="1812"/>
    <cellStyle name="S3 3" xfId="1813"/>
    <cellStyle name="S30" xfId="1814"/>
    <cellStyle name="S31" xfId="1815"/>
    <cellStyle name="S32" xfId="1816"/>
    <cellStyle name="S33" xfId="1817"/>
    <cellStyle name="S34" xfId="1818"/>
    <cellStyle name="S35" xfId="1819"/>
    <cellStyle name="S36" xfId="1820"/>
    <cellStyle name="S37" xfId="1821"/>
    <cellStyle name="S38" xfId="1822"/>
    <cellStyle name="S39" xfId="1823"/>
    <cellStyle name="S4" xfId="314"/>
    <cellStyle name="S4 2" xfId="1824"/>
    <cellStyle name="S4 3" xfId="1825"/>
    <cellStyle name="S40" xfId="1826"/>
    <cellStyle name="S41" xfId="1827"/>
    <cellStyle name="S42" xfId="1828"/>
    <cellStyle name="S43" xfId="1829"/>
    <cellStyle name="S5" xfId="315"/>
    <cellStyle name="S5 2" xfId="1830"/>
    <cellStyle name="S5 3" xfId="1831"/>
    <cellStyle name="S6" xfId="316"/>
    <cellStyle name="S6 2" xfId="1832"/>
    <cellStyle name="S6 3" xfId="1833"/>
    <cellStyle name="S7" xfId="317"/>
    <cellStyle name="S7 2" xfId="1834"/>
    <cellStyle name="S7 3" xfId="1835"/>
    <cellStyle name="S8" xfId="318"/>
    <cellStyle name="S8 2" xfId="1836"/>
    <cellStyle name="S8 3" xfId="1837"/>
    <cellStyle name="S9" xfId="319"/>
    <cellStyle name="S9 2" xfId="1838"/>
    <cellStyle name="S9 3" xfId="1839"/>
    <cellStyle name="sbt2" xfId="1468"/>
    <cellStyle name="sbt2 2" xfId="1840"/>
    <cellStyle name="sbt2 3" xfId="1841"/>
    <cellStyle name="SHADEDSTORES" xfId="320"/>
    <cellStyle name="SHADEDSTORES 2" xfId="1842"/>
    <cellStyle name="SHADEDSTORES 3" xfId="1843"/>
    <cellStyle name="specstores" xfId="321"/>
    <cellStyle name="Strange" xfId="322"/>
    <cellStyle name="subt1" xfId="1469"/>
    <cellStyle name="Subtotal" xfId="323"/>
    <cellStyle name="Test [green]" xfId="324"/>
    <cellStyle name="Text Indent A" xfId="325"/>
    <cellStyle name="Text Indent B" xfId="326"/>
    <cellStyle name="Text Indent C" xfId="327"/>
    <cellStyle name="TFCF" xfId="328"/>
    <cellStyle name="Title 10" xfId="1470"/>
    <cellStyle name="Title 11" xfId="1471"/>
    <cellStyle name="Title 12" xfId="1472"/>
    <cellStyle name="Title 2" xfId="1473"/>
    <cellStyle name="Title 3" xfId="1474"/>
    <cellStyle name="Title 4" xfId="1475"/>
    <cellStyle name="Title 5" xfId="1476"/>
    <cellStyle name="Title 6" xfId="1477"/>
    <cellStyle name="Title 7" xfId="1478"/>
    <cellStyle name="Title 8" xfId="1479"/>
    <cellStyle name="Title 9" xfId="1480"/>
    <cellStyle name="Total 10" xfId="1481"/>
    <cellStyle name="Total 10 2" xfId="1844"/>
    <cellStyle name="Total 10 3" xfId="1845"/>
    <cellStyle name="Total 11" xfId="1482"/>
    <cellStyle name="Total 11 2" xfId="1846"/>
    <cellStyle name="Total 11 3" xfId="1847"/>
    <cellStyle name="Total 12" xfId="1483"/>
    <cellStyle name="Total 12 2" xfId="1848"/>
    <cellStyle name="Total 12 3" xfId="1849"/>
    <cellStyle name="Total 2" xfId="1484"/>
    <cellStyle name="Total 2 2" xfId="1850"/>
    <cellStyle name="Total 2 3" xfId="1851"/>
    <cellStyle name="Total 3" xfId="1485"/>
    <cellStyle name="Total 3 2" xfId="1852"/>
    <cellStyle name="Total 3 3" xfId="1853"/>
    <cellStyle name="Total 4" xfId="1486"/>
    <cellStyle name="Total 4 2" xfId="1854"/>
    <cellStyle name="Total 4 3" xfId="1855"/>
    <cellStyle name="Total 5" xfId="1487"/>
    <cellStyle name="Total 5 2" xfId="1856"/>
    <cellStyle name="Total 5 3" xfId="1857"/>
    <cellStyle name="Total 6" xfId="1488"/>
    <cellStyle name="Total 6 2" xfId="1858"/>
    <cellStyle name="Total 6 3" xfId="1859"/>
    <cellStyle name="Total 7" xfId="1489"/>
    <cellStyle name="Total 7 2" xfId="1860"/>
    <cellStyle name="Total 7 3" xfId="1861"/>
    <cellStyle name="Total 8" xfId="1490"/>
    <cellStyle name="Total 8 2" xfId="1862"/>
    <cellStyle name="Total 8 3" xfId="1863"/>
    <cellStyle name="Total 9" xfId="1491"/>
    <cellStyle name="Total 9 2" xfId="1864"/>
    <cellStyle name="Total 9 3" xfId="1865"/>
    <cellStyle name="Warning Text 10" xfId="1492"/>
    <cellStyle name="Warning Text 11" xfId="1493"/>
    <cellStyle name="Warning Text 2" xfId="1494"/>
    <cellStyle name="Warning Text 3" xfId="1495"/>
    <cellStyle name="Warning Text 4" xfId="1496"/>
    <cellStyle name="Warning Text 5" xfId="1497"/>
    <cellStyle name="Warning Text 6" xfId="1498"/>
    <cellStyle name="Warning Text 7" xfId="1499"/>
    <cellStyle name="Warning Text 8" xfId="1500"/>
    <cellStyle name="Warning Text 9" xfId="1501"/>
    <cellStyle name="White" xfId="3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EKROLL%202022\PANEN%20AIK%20LIMP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WORKSHOP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AIR%20BANGEK/DATA%202024/PAYROOL%20WORKSHOP%202024/WORKSHOP%20PAYROL%20DES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AIR%20BANGEK/DATA%202024/PAYROOL%20AIR%20BANGEK%202024/PAYROLL%20AIR%20BANGEK%20DES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RIF"/>
    </sheetNames>
    <sheetDataSet>
      <sheetData sheetId="0">
        <row r="15">
          <cell r="AL15">
            <v>269860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PPH 21 THR' 24. (2)"/>
      <sheetName val="PPH 21 APRIL + EXGRATIA'2024"/>
      <sheetName val="PPH JANUARI 2025"/>
      <sheetName val="PPH FEBUARI 2025 "/>
      <sheetName val="PPH 21 THR"/>
      <sheetName val="PPH 21 THR + GAJI MARET'25"/>
      <sheetName val="PPH 21 APRIL 25"/>
      <sheetName val="PPH 21 MEI 25 + EXGRATIA 225"/>
      <sheetName val="PPH 21 JUNI 25"/>
      <sheetName val="PPH 21 JULI 25 "/>
      <sheetName val="PPH 21 AGUSTUS'25"/>
      <sheetName val="PPH 21 SEPTEMBER 2025"/>
      <sheetName val="PPH 21 OKTOBER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Y11">
            <v>79237</v>
          </cell>
        </row>
      </sheetData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A KERJA"/>
      <sheetName val="HK"/>
      <sheetName val="LEMBUR"/>
      <sheetName val="DESEMBER 2024"/>
      <sheetName val="BRI DESMEBR 24"/>
      <sheetName val="REKON GAJI MANUAL VS PLANTW (2"/>
      <sheetName val="REKON GAJI MANUAL VS PLANTW  AB"/>
      <sheetName val="Distribusi NOVEMBER 2024"/>
      <sheetName val="Sheet1"/>
      <sheetName val="Sheet2"/>
    </sheetNames>
    <sheetDataSet>
      <sheetData sheetId="0" refreshError="1"/>
      <sheetData sheetId="1" refreshError="1"/>
      <sheetData sheetId="2" refreshError="1"/>
      <sheetData sheetId="3">
        <row r="8">
          <cell r="D8" t="str">
            <v>YOS SISWANTO</v>
          </cell>
        </row>
        <row r="9">
          <cell r="D9" t="str">
            <v>AGUNG SUBOWO</v>
          </cell>
        </row>
        <row r="10">
          <cell r="D10" t="str">
            <v>ISHARTONO</v>
          </cell>
        </row>
        <row r="11">
          <cell r="D11" t="str">
            <v>HARRY KRISTIAN</v>
          </cell>
        </row>
        <row r="12">
          <cell r="D12" t="str">
            <v>ASIDO SIANTURI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A KERJA AB"/>
      <sheetName val="INSETIF DES'24"/>
      <sheetName val="MONITORING "/>
      <sheetName val="HK PANEN"/>
      <sheetName val="HK UP KEEP, OP "/>
      <sheetName val="ABSEN"/>
      <sheetName val="LEMBUR DAN PREMI UPKEEP"/>
      <sheetName val="PREMI ALAT"/>
      <sheetName val="PAYROOL DESEMBER 2024"/>
      <sheetName val="BRI DESEMBER 2024 "/>
      <sheetName val="REKON GAJI MANUAL VS PLANTW  AB"/>
      <sheetName val="REKON GAJI MANUAL VS PLANTW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P11">
            <v>72800</v>
          </cell>
        </row>
        <row r="152">
          <cell r="BC152">
            <v>365012630.6669172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6"/>
  <sheetViews>
    <sheetView workbookViewId="0">
      <selection activeCell="E22" sqref="E22"/>
    </sheetView>
  </sheetViews>
  <sheetFormatPr defaultRowHeight="14.25"/>
  <cols>
    <col min="1" max="1" width="4" style="171" customWidth="1"/>
    <col min="2" max="2" width="26.85546875" style="171" customWidth="1"/>
    <col min="3" max="3" width="14.85546875" style="171" customWidth="1"/>
    <col min="4" max="4" width="29" style="171" customWidth="1"/>
    <col min="5" max="5" width="14.42578125" style="171" bestFit="1" customWidth="1"/>
    <col min="6" max="6" width="30.7109375" style="173" customWidth="1"/>
    <col min="7" max="7" width="7.140625" style="173" customWidth="1"/>
    <col min="8" max="8" width="6.28515625" style="174" customWidth="1"/>
    <col min="9" max="9" width="9.7109375" style="175" customWidth="1"/>
    <col min="10" max="10" width="9.140625" style="174"/>
    <col min="11" max="11" width="13.7109375" style="175" customWidth="1"/>
    <col min="12" max="16384" width="9.140625" style="171"/>
  </cols>
  <sheetData>
    <row r="1" spans="1:11" s="170" customFormat="1" ht="18.75">
      <c r="A1" s="167" t="s">
        <v>138</v>
      </c>
      <c r="B1" s="167"/>
      <c r="C1" s="167"/>
      <c r="D1" s="167"/>
      <c r="E1" s="167"/>
      <c r="F1" s="167"/>
      <c r="G1" s="167"/>
      <c r="H1" s="168"/>
      <c r="I1" s="169"/>
      <c r="J1" s="168"/>
      <c r="K1" s="169"/>
    </row>
    <row r="2" spans="1:11" s="170" customFormat="1" ht="18.75">
      <c r="A2" s="167" t="s">
        <v>139</v>
      </c>
      <c r="B2" s="167"/>
      <c r="C2" s="167"/>
      <c r="D2" s="167"/>
      <c r="E2" s="167"/>
      <c r="F2" s="167"/>
      <c r="G2" s="167"/>
      <c r="H2" s="168"/>
      <c r="I2" s="169"/>
      <c r="J2" s="168"/>
      <c r="K2" s="169"/>
    </row>
    <row r="4" spans="1:11">
      <c r="A4" s="171" t="s">
        <v>132</v>
      </c>
      <c r="E4" s="172">
        <v>45961</v>
      </c>
    </row>
    <row r="6" spans="1:11" s="177" customFormat="1" ht="16.5" thickBot="1">
      <c r="A6" s="176" t="s">
        <v>148</v>
      </c>
      <c r="B6" s="176"/>
      <c r="C6" s="202"/>
      <c r="D6" s="202"/>
      <c r="F6" s="178"/>
      <c r="G6" s="178"/>
      <c r="H6" s="179"/>
      <c r="I6" s="180"/>
      <c r="J6" s="179"/>
      <c r="K6" s="180"/>
    </row>
    <row r="7" spans="1:11" s="186" customFormat="1" ht="51.75" thickBot="1">
      <c r="A7" s="181" t="s">
        <v>131</v>
      </c>
      <c r="B7" s="182" t="s">
        <v>140</v>
      </c>
      <c r="C7" s="182" t="s">
        <v>146</v>
      </c>
      <c r="D7" s="182" t="s">
        <v>147</v>
      </c>
      <c r="E7" s="182" t="s">
        <v>141</v>
      </c>
      <c r="F7" s="182" t="s">
        <v>136</v>
      </c>
      <c r="G7" s="182" t="s">
        <v>152</v>
      </c>
      <c r="H7" s="203" t="s">
        <v>149</v>
      </c>
      <c r="I7" s="184" t="s">
        <v>150</v>
      </c>
      <c r="J7" s="183" t="s">
        <v>142</v>
      </c>
      <c r="K7" s="185" t="s">
        <v>151</v>
      </c>
    </row>
    <row r="8" spans="1:11" ht="19.5" customHeight="1">
      <c r="A8" s="187">
        <v>1</v>
      </c>
      <c r="B8" s="188" t="s">
        <v>36</v>
      </c>
      <c r="C8" s="189">
        <v>27162</v>
      </c>
      <c r="D8" s="190" t="str">
        <f>DATEDIF(C8,$E$4,"Y")&amp;" Tahun, "&amp;DATEDIF(C8,$E$4,"YM")&amp;" Bulan, "&amp;DATEDIF(C8,$E$4,"MD")&amp;" hari"</f>
        <v>51 Tahun, 5 Bulan, 18 hari</v>
      </c>
      <c r="E8" s="189" t="s">
        <v>143</v>
      </c>
      <c r="F8" s="190" t="str">
        <f>DATEDIF(E8,$E$4,"Y")&amp;" Tahun, "&amp;DATEDIF(E8,$E$4,"YM")&amp;" Bulan, "&amp;DATEDIF(E8,$E$4,"MD")&amp;" hari"</f>
        <v>28 Tahun, 7 Bulan, 27 hari</v>
      </c>
      <c r="G8" s="215">
        <v>3</v>
      </c>
      <c r="H8" s="191">
        <v>28</v>
      </c>
      <c r="I8" s="199">
        <v>89000</v>
      </c>
      <c r="J8" s="191" t="s">
        <v>211</v>
      </c>
      <c r="K8" s="192">
        <v>3700</v>
      </c>
    </row>
    <row r="9" spans="1:11" ht="19.5" customHeight="1">
      <c r="A9" s="193">
        <v>2</v>
      </c>
      <c r="B9" s="194" t="s">
        <v>37</v>
      </c>
      <c r="C9" s="195">
        <v>31690</v>
      </c>
      <c r="D9" s="196" t="str">
        <f t="shared" ref="D9:D12" si="0">DATEDIF(C9,$E$4,"Y")&amp;" Tahun, "&amp;DATEDIF(C9,$E$4,"YM")&amp;" Bulan, "&amp;DATEDIF(C9,$E$4,"MD")&amp;" hari"</f>
        <v>39 Tahun, 0 Bulan, 26 hari</v>
      </c>
      <c r="E9" s="195">
        <v>40269</v>
      </c>
      <c r="F9" s="196" t="str">
        <f t="shared" ref="F9:F12" si="1">DATEDIF(E9,$E$4,"Y")&amp;" Tahun, "&amp;DATEDIF(E9,$E$4,"YM")&amp;" Bulan, "&amp;DATEDIF(E9,$E$4,"MD")&amp;" hari"</f>
        <v>15 Tahun, 6 Bulan, 30 hari</v>
      </c>
      <c r="G9" s="216">
        <v>4</v>
      </c>
      <c r="H9" s="197">
        <v>15</v>
      </c>
      <c r="I9" s="200">
        <v>43500</v>
      </c>
      <c r="J9" s="344" t="s">
        <v>213</v>
      </c>
      <c r="K9" s="343">
        <v>3250</v>
      </c>
    </row>
    <row r="10" spans="1:11" ht="19.5" customHeight="1">
      <c r="A10" s="193">
        <v>3</v>
      </c>
      <c r="B10" s="533" t="s">
        <v>38</v>
      </c>
      <c r="C10" s="195">
        <v>26205</v>
      </c>
      <c r="D10" s="196" t="str">
        <f t="shared" si="0"/>
        <v>54 Tahun, 1 Bulan, 2 hari</v>
      </c>
      <c r="E10" s="195" t="s">
        <v>144</v>
      </c>
      <c r="F10" s="196" t="str">
        <f t="shared" si="1"/>
        <v>15 Tahun, 7 Bulan, 30 hari</v>
      </c>
      <c r="G10" s="216">
        <v>3</v>
      </c>
      <c r="H10" s="197">
        <v>15</v>
      </c>
      <c r="I10" s="200">
        <v>43500</v>
      </c>
      <c r="J10" s="345" t="s">
        <v>212</v>
      </c>
      <c r="K10" s="198">
        <v>3700</v>
      </c>
    </row>
    <row r="11" spans="1:11" ht="19.5" customHeight="1">
      <c r="A11" s="193">
        <v>4</v>
      </c>
      <c r="B11" s="194" t="s">
        <v>99</v>
      </c>
      <c r="C11" s="195">
        <v>35962</v>
      </c>
      <c r="D11" s="196" t="str">
        <f t="shared" si="0"/>
        <v>27 Tahun, 4 Bulan, 15 hari</v>
      </c>
      <c r="E11" s="195" t="s">
        <v>145</v>
      </c>
      <c r="F11" s="196" t="str">
        <f t="shared" si="1"/>
        <v>5 Tahun, 6 Bulan, 30 hari</v>
      </c>
      <c r="G11" s="216">
        <v>4</v>
      </c>
      <c r="H11" s="197">
        <v>5</v>
      </c>
      <c r="I11" s="200">
        <v>12500</v>
      </c>
      <c r="J11" s="197" t="s">
        <v>212</v>
      </c>
      <c r="K11" s="198">
        <v>4650</v>
      </c>
    </row>
    <row r="12" spans="1:11" ht="19.5" customHeight="1" thickBot="1">
      <c r="A12" s="204">
        <v>5</v>
      </c>
      <c r="B12" s="205" t="s">
        <v>129</v>
      </c>
      <c r="C12" s="206">
        <v>33279</v>
      </c>
      <c r="D12" s="207" t="str">
        <f t="shared" si="0"/>
        <v>34 Tahun, 8 Bulan, 21 hari</v>
      </c>
      <c r="E12" s="206">
        <v>41030</v>
      </c>
      <c r="F12" s="207" t="str">
        <f t="shared" si="1"/>
        <v>13 Tahun, 5 Bulan, 30 hari</v>
      </c>
      <c r="G12" s="217">
        <v>2</v>
      </c>
      <c r="H12" s="208">
        <v>13</v>
      </c>
      <c r="I12" s="209">
        <v>36500</v>
      </c>
      <c r="J12" s="208" t="s">
        <v>213</v>
      </c>
      <c r="K12" s="343">
        <v>3250</v>
      </c>
    </row>
    <row r="13" spans="1:11">
      <c r="I13" s="201"/>
    </row>
    <row r="16" spans="1:11">
      <c r="D16" s="171">
        <f>1971-2025</f>
        <v>-54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"/>
  <sheetViews>
    <sheetView zoomScale="50" zoomScaleNormal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O19" sqref="AO18:AP19"/>
    </sheetView>
  </sheetViews>
  <sheetFormatPr defaultColWidth="9" defaultRowHeight="20.25"/>
  <cols>
    <col min="1" max="1" width="6.42578125" style="14" customWidth="1"/>
    <col min="2" max="2" width="36.140625" style="14" customWidth="1"/>
    <col min="3" max="6" width="7.85546875" style="14" customWidth="1"/>
    <col min="7" max="7" width="7.85546875" style="48" customWidth="1"/>
    <col min="8" max="13" width="7.85546875" style="14" customWidth="1"/>
    <col min="14" max="14" width="7.85546875" style="48" customWidth="1"/>
    <col min="15" max="19" width="7.85546875" style="14" customWidth="1"/>
    <col min="20" max="20" width="7.5703125" style="14" customWidth="1"/>
    <col min="21" max="21" width="7.85546875" style="48" customWidth="1"/>
    <col min="22" max="27" width="7.85546875" style="14" customWidth="1"/>
    <col min="28" max="28" width="7.85546875" style="48" customWidth="1"/>
    <col min="29" max="29" width="7.85546875" style="14" customWidth="1"/>
    <col min="30" max="30" width="7.5703125" style="14" customWidth="1"/>
    <col min="31" max="33" width="7.85546875" style="14" customWidth="1"/>
    <col min="34" max="34" width="12" style="14" customWidth="1"/>
    <col min="35" max="41" width="7.85546875" style="14" customWidth="1"/>
    <col min="42" max="42" width="14.42578125" style="14" customWidth="1"/>
    <col min="43" max="44" width="7.85546875" style="14" customWidth="1"/>
    <col min="45" max="16384" width="9" style="14"/>
  </cols>
  <sheetData>
    <row r="1" spans="1:44" s="5" customFormat="1">
      <c r="A1" s="551" t="s">
        <v>105</v>
      </c>
      <c r="B1" s="551"/>
      <c r="C1" s="165"/>
      <c r="D1" s="165"/>
      <c r="E1" s="165"/>
      <c r="F1" s="165"/>
      <c r="G1" s="218"/>
      <c r="H1" s="165"/>
      <c r="I1" s="165"/>
      <c r="J1" s="165"/>
      <c r="K1" s="165"/>
      <c r="L1" s="165"/>
      <c r="M1" s="165"/>
      <c r="N1" s="218"/>
      <c r="O1" s="165"/>
      <c r="P1" s="165"/>
      <c r="Q1" s="165"/>
      <c r="R1" s="165"/>
      <c r="S1" s="165"/>
      <c r="T1" s="165"/>
      <c r="U1" s="218"/>
      <c r="V1" s="165"/>
      <c r="W1" s="165"/>
      <c r="X1" s="165"/>
      <c r="Y1" s="165"/>
      <c r="Z1" s="165"/>
      <c r="AA1" s="165"/>
      <c r="AB1" s="218"/>
      <c r="AC1" s="165"/>
      <c r="AD1" s="165"/>
      <c r="AE1" s="165"/>
      <c r="AF1" s="165"/>
      <c r="AG1" s="165"/>
      <c r="AH1" s="165"/>
    </row>
    <row r="2" spans="1:44" s="5" customFormat="1">
      <c r="A2" s="6" t="s">
        <v>130</v>
      </c>
      <c r="B2" s="6"/>
      <c r="C2" s="165"/>
      <c r="D2" s="165"/>
      <c r="E2" s="165"/>
      <c r="F2" s="165"/>
      <c r="G2" s="218"/>
      <c r="H2" s="165"/>
      <c r="I2" s="165"/>
      <c r="J2" s="165"/>
      <c r="K2" s="165"/>
      <c r="L2" s="165"/>
      <c r="M2" s="165"/>
      <c r="N2" s="218"/>
      <c r="O2" s="165"/>
      <c r="P2" s="165"/>
      <c r="Q2" s="165"/>
      <c r="R2" s="165"/>
      <c r="S2" s="165"/>
      <c r="T2" s="165"/>
      <c r="U2" s="218"/>
      <c r="V2" s="165"/>
      <c r="W2" s="165"/>
      <c r="X2" s="165"/>
      <c r="Y2" s="165"/>
      <c r="Z2" s="165"/>
      <c r="AA2" s="165"/>
      <c r="AB2" s="218"/>
      <c r="AC2" s="165"/>
      <c r="AD2" s="165"/>
      <c r="AE2" s="165"/>
      <c r="AF2" s="165"/>
      <c r="AG2" s="165"/>
      <c r="AH2" s="165"/>
    </row>
    <row r="3" spans="1:44" s="5" customFormat="1" ht="21" thickBot="1">
      <c r="A3" s="552" t="s">
        <v>217</v>
      </c>
      <c r="B3" s="552"/>
      <c r="C3" s="166"/>
      <c r="D3" s="166"/>
      <c r="E3" s="166"/>
      <c r="F3" s="166"/>
      <c r="G3" s="219"/>
      <c r="H3" s="166"/>
      <c r="I3" s="166"/>
      <c r="J3" s="166"/>
      <c r="K3" s="166"/>
      <c r="L3" s="166"/>
      <c r="M3" s="166"/>
      <c r="N3" s="219"/>
      <c r="O3" s="166"/>
      <c r="P3" s="166"/>
      <c r="Q3" s="166"/>
      <c r="R3" s="166"/>
      <c r="S3" s="166"/>
      <c r="T3" s="166"/>
      <c r="U3" s="219"/>
      <c r="V3" s="166"/>
      <c r="W3" s="166"/>
      <c r="X3" s="166"/>
      <c r="Y3" s="166"/>
      <c r="Z3" s="166"/>
      <c r="AA3" s="166"/>
      <c r="AB3" s="219"/>
      <c r="AC3" s="166"/>
      <c r="AD3" s="166"/>
      <c r="AE3" s="166"/>
      <c r="AF3" s="166"/>
      <c r="AG3" s="166"/>
      <c r="AH3" s="166"/>
    </row>
    <row r="4" spans="1:44" s="5" customFormat="1" ht="33" customHeight="1">
      <c r="A4" s="553" t="s">
        <v>106</v>
      </c>
      <c r="B4" s="548" t="s">
        <v>52</v>
      </c>
      <c r="C4" s="548" t="s">
        <v>107</v>
      </c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556"/>
      <c r="AH4" s="557" t="s">
        <v>108</v>
      </c>
      <c r="AI4" s="547" t="s">
        <v>109</v>
      </c>
      <c r="AJ4" s="548"/>
      <c r="AK4" s="548"/>
      <c r="AL4" s="548"/>
      <c r="AM4" s="548"/>
      <c r="AN4" s="548"/>
      <c r="AO4" s="548"/>
      <c r="AP4" s="549" t="s">
        <v>7</v>
      </c>
      <c r="AQ4" s="549" t="s">
        <v>32</v>
      </c>
      <c r="AR4" s="545" t="s">
        <v>56</v>
      </c>
    </row>
    <row r="5" spans="1:44" s="5" customFormat="1" ht="33" customHeight="1" thickBot="1">
      <c r="A5" s="554"/>
      <c r="B5" s="555"/>
      <c r="C5" s="523">
        <v>1</v>
      </c>
      <c r="D5" s="523">
        <v>2</v>
      </c>
      <c r="E5" s="523">
        <v>3</v>
      </c>
      <c r="F5" s="523">
        <v>4</v>
      </c>
      <c r="G5" s="42">
        <v>5</v>
      </c>
      <c r="H5" s="523">
        <v>6</v>
      </c>
      <c r="I5" s="523">
        <v>7</v>
      </c>
      <c r="J5" s="523">
        <v>8</v>
      </c>
      <c r="K5" s="523">
        <v>9</v>
      </c>
      <c r="L5" s="523">
        <v>10</v>
      </c>
      <c r="M5" s="523">
        <v>11</v>
      </c>
      <c r="N5" s="42">
        <v>12</v>
      </c>
      <c r="O5" s="523">
        <v>13</v>
      </c>
      <c r="P5" s="523">
        <v>14</v>
      </c>
      <c r="Q5" s="523">
        <v>15</v>
      </c>
      <c r="R5" s="523">
        <v>16</v>
      </c>
      <c r="S5" s="523">
        <v>17</v>
      </c>
      <c r="T5" s="523">
        <v>18</v>
      </c>
      <c r="U5" s="42">
        <v>19</v>
      </c>
      <c r="V5" s="523">
        <v>20</v>
      </c>
      <c r="W5" s="523">
        <v>21</v>
      </c>
      <c r="X5" s="523">
        <v>22</v>
      </c>
      <c r="Y5" s="523">
        <v>23</v>
      </c>
      <c r="Z5" s="523">
        <v>24</v>
      </c>
      <c r="AA5" s="523">
        <v>25</v>
      </c>
      <c r="AB5" s="42">
        <v>26</v>
      </c>
      <c r="AC5" s="7">
        <v>27</v>
      </c>
      <c r="AD5" s="523">
        <v>28</v>
      </c>
      <c r="AE5" s="523">
        <v>29</v>
      </c>
      <c r="AF5" s="523">
        <v>30</v>
      </c>
      <c r="AG5" s="7">
        <v>31</v>
      </c>
      <c r="AH5" s="558"/>
      <c r="AI5" s="8" t="s">
        <v>34</v>
      </c>
      <c r="AJ5" s="523" t="s">
        <v>110</v>
      </c>
      <c r="AK5" s="523" t="s">
        <v>14</v>
      </c>
      <c r="AL5" s="523" t="s">
        <v>111</v>
      </c>
      <c r="AM5" s="523" t="s">
        <v>112</v>
      </c>
      <c r="AN5" s="523" t="s">
        <v>113</v>
      </c>
      <c r="AO5" s="523" t="s">
        <v>18</v>
      </c>
      <c r="AP5" s="550"/>
      <c r="AQ5" s="550"/>
      <c r="AR5" s="546"/>
    </row>
    <row r="6" spans="1:44" ht="42.75" customHeight="1">
      <c r="A6" s="9" t="s">
        <v>114</v>
      </c>
      <c r="B6" s="39" t="s">
        <v>36</v>
      </c>
      <c r="C6" s="10">
        <v>1</v>
      </c>
      <c r="D6" s="10">
        <v>1</v>
      </c>
      <c r="E6" s="10">
        <v>1</v>
      </c>
      <c r="F6" s="10">
        <v>1</v>
      </c>
      <c r="G6" s="43" t="s">
        <v>111</v>
      </c>
      <c r="H6" s="10">
        <v>1</v>
      </c>
      <c r="I6" s="10" t="s">
        <v>171</v>
      </c>
      <c r="J6" s="10">
        <v>1</v>
      </c>
      <c r="K6" s="10">
        <v>1</v>
      </c>
      <c r="L6" s="10">
        <v>1</v>
      </c>
      <c r="M6" s="10">
        <v>1</v>
      </c>
      <c r="N6" s="43" t="s">
        <v>111</v>
      </c>
      <c r="O6" s="10">
        <v>1</v>
      </c>
      <c r="P6" s="10">
        <v>1</v>
      </c>
      <c r="Q6" s="10">
        <v>1</v>
      </c>
      <c r="R6" s="10">
        <v>1</v>
      </c>
      <c r="S6" s="10">
        <v>1</v>
      </c>
      <c r="T6" s="10">
        <v>1</v>
      </c>
      <c r="U6" s="43" t="s">
        <v>111</v>
      </c>
      <c r="V6" s="10" t="s">
        <v>209</v>
      </c>
      <c r="W6" s="10">
        <v>1</v>
      </c>
      <c r="X6" s="10">
        <v>1</v>
      </c>
      <c r="Y6" s="10" t="s">
        <v>171</v>
      </c>
      <c r="Z6" s="10">
        <v>1</v>
      </c>
      <c r="AA6" s="10">
        <v>1</v>
      </c>
      <c r="AB6" s="43" t="s">
        <v>111</v>
      </c>
      <c r="AC6" s="10">
        <v>1</v>
      </c>
      <c r="AD6" s="10">
        <v>1</v>
      </c>
      <c r="AE6" s="10">
        <v>1</v>
      </c>
      <c r="AF6" s="10">
        <v>1</v>
      </c>
      <c r="AG6" s="10">
        <v>1</v>
      </c>
      <c r="AH6" s="11">
        <f>SUM(C6:AG6)</f>
        <v>24</v>
      </c>
      <c r="AI6" s="12">
        <f>COUNTIF(C6:AG6,"CT")</f>
        <v>1</v>
      </c>
      <c r="AJ6" s="10">
        <f>COUNTIF(C6:AG6,"S")</f>
        <v>2</v>
      </c>
      <c r="AK6" s="10">
        <f>COUNTIF(C6:AG6,"H1")</f>
        <v>0</v>
      </c>
      <c r="AL6" s="10">
        <f>COUNTIF(C6:AG6,"MG")</f>
        <v>4</v>
      </c>
      <c r="AM6" s="10">
        <f>COUNTIF(C6:AG6,"NAS")</f>
        <v>0</v>
      </c>
      <c r="AN6" s="10">
        <f>COUNTIF(C6:AG6,"H2")</f>
        <v>0</v>
      </c>
      <c r="AO6" s="10">
        <f>COUNTIF(C6:AG6,"P1")</f>
        <v>0</v>
      </c>
      <c r="AP6" s="10">
        <f>+AH6+AI6+AJ6+AK6+AL6+AM6+AN6+AO6</f>
        <v>31</v>
      </c>
      <c r="AQ6" s="10">
        <f>COUNTIF(C6:AG6,"CTH")</f>
        <v>0</v>
      </c>
      <c r="AR6" s="13">
        <f>COUNTIF(C6:AG6,"A")</f>
        <v>0</v>
      </c>
    </row>
    <row r="7" spans="1:44" s="19" customFormat="1" ht="42.75" customHeight="1">
      <c r="A7" s="15" t="s">
        <v>115</v>
      </c>
      <c r="B7" s="40" t="s">
        <v>37</v>
      </c>
      <c r="C7" s="16">
        <v>1</v>
      </c>
      <c r="D7" s="16">
        <v>1</v>
      </c>
      <c r="E7" s="16">
        <v>1</v>
      </c>
      <c r="F7" s="16" t="s">
        <v>215</v>
      </c>
      <c r="G7" s="44" t="s">
        <v>111</v>
      </c>
      <c r="H7" s="16">
        <v>1</v>
      </c>
      <c r="I7" s="16" t="s">
        <v>171</v>
      </c>
      <c r="J7" s="16">
        <v>1</v>
      </c>
      <c r="K7" s="16">
        <v>1</v>
      </c>
      <c r="L7" s="16">
        <v>1</v>
      </c>
      <c r="M7" s="16">
        <v>1</v>
      </c>
      <c r="N7" s="44" t="s">
        <v>111</v>
      </c>
      <c r="O7" s="16">
        <v>1</v>
      </c>
      <c r="P7" s="16">
        <v>1</v>
      </c>
      <c r="Q7" s="16">
        <v>1</v>
      </c>
      <c r="R7" s="16" t="s">
        <v>171</v>
      </c>
      <c r="S7" s="16">
        <v>1</v>
      </c>
      <c r="T7" s="16">
        <v>1</v>
      </c>
      <c r="U7" s="44" t="s">
        <v>111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44" t="s">
        <v>111</v>
      </c>
      <c r="AC7" s="16">
        <v>1</v>
      </c>
      <c r="AD7" s="16" t="s">
        <v>209</v>
      </c>
      <c r="AE7" s="16">
        <v>1</v>
      </c>
      <c r="AF7" s="16">
        <v>1</v>
      </c>
      <c r="AG7" s="16">
        <v>1</v>
      </c>
      <c r="AH7" s="28">
        <f>SUM(C7:AG7)</f>
        <v>23</v>
      </c>
      <c r="AI7" s="17">
        <f>COUNTIF(C7:AG7,"CT")</f>
        <v>1</v>
      </c>
      <c r="AJ7" s="16">
        <f>COUNTIF(C7:AG7,"S")</f>
        <v>2</v>
      </c>
      <c r="AK7" s="16">
        <f>COUNTIF(C7:AG7,"H1")</f>
        <v>0</v>
      </c>
      <c r="AL7" s="16">
        <f>COUNTIF(C7:AG7,"MG")</f>
        <v>4</v>
      </c>
      <c r="AM7" s="16">
        <f>COUNTIF(C7:AG7,"NAS")</f>
        <v>0</v>
      </c>
      <c r="AN7" s="16">
        <f>COUNTIF(C7:AG7,"H2")</f>
        <v>0</v>
      </c>
      <c r="AO7" s="16">
        <f>COUNTIF(C7:AG7,"P2")</f>
        <v>0</v>
      </c>
      <c r="AP7" s="16">
        <f>+AH7+AI7+AJ7+AK7+AL7+AM7+AN7+AO7</f>
        <v>30</v>
      </c>
      <c r="AQ7" s="16">
        <f>COUNTIF(C7:AG7,"CTH")</f>
        <v>0</v>
      </c>
      <c r="AR7" s="18">
        <f>COUNTIF(C7:AG7,"A")</f>
        <v>1</v>
      </c>
    </row>
    <row r="8" spans="1:44" s="19" customFormat="1" ht="42.75" customHeight="1">
      <c r="A8" s="15" t="s">
        <v>116</v>
      </c>
      <c r="B8" s="40" t="s">
        <v>38</v>
      </c>
      <c r="C8" s="16">
        <v>1</v>
      </c>
      <c r="D8" s="16">
        <v>1</v>
      </c>
      <c r="E8" s="16">
        <v>1</v>
      </c>
      <c r="F8" s="16">
        <v>1</v>
      </c>
      <c r="G8" s="44" t="s">
        <v>111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44" t="s">
        <v>111</v>
      </c>
      <c r="O8" s="16" t="s">
        <v>209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44" t="s">
        <v>111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44" t="s">
        <v>111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28">
        <f>SUM(C8:AG8)</f>
        <v>26</v>
      </c>
      <c r="AI8" s="17">
        <f>COUNTIF(C8:AG8,"CT")</f>
        <v>1</v>
      </c>
      <c r="AJ8" s="16">
        <f>COUNTIF(C8:AG8,"S")</f>
        <v>0</v>
      </c>
      <c r="AK8" s="16">
        <f>COUNTIF(C8:AG8,"H1")</f>
        <v>0</v>
      </c>
      <c r="AL8" s="16">
        <f>COUNTIF(C8:AG8,"MG")</f>
        <v>4</v>
      </c>
      <c r="AM8" s="16">
        <f>COUNTIF(C8:AG8,"NAS")</f>
        <v>0</v>
      </c>
      <c r="AN8" s="16">
        <f>COUNTIF(C8:AG8,"H2")</f>
        <v>0</v>
      </c>
      <c r="AO8" s="16">
        <f>COUNTIF(C8:AG8,"P2")</f>
        <v>0</v>
      </c>
      <c r="AP8" s="16">
        <f>+AH8+AI8+AJ8+AK8+AL8+AM8+AN8+AO8</f>
        <v>31</v>
      </c>
      <c r="AQ8" s="16">
        <f>COUNTIF(C8:AG8,"CTH")</f>
        <v>0</v>
      </c>
      <c r="AR8" s="18">
        <f>COUNTIF(C8:AG8,"A")</f>
        <v>0</v>
      </c>
    </row>
    <row r="9" spans="1:44" s="19" customFormat="1" ht="42.75" customHeight="1">
      <c r="A9" s="15" t="s">
        <v>117</v>
      </c>
      <c r="B9" s="41" t="s">
        <v>119</v>
      </c>
      <c r="C9" s="16">
        <v>1</v>
      </c>
      <c r="D9" s="16">
        <v>1</v>
      </c>
      <c r="E9" s="16">
        <v>1</v>
      </c>
      <c r="F9" s="16">
        <v>1</v>
      </c>
      <c r="G9" s="44" t="s">
        <v>111</v>
      </c>
      <c r="H9" s="16">
        <v>1</v>
      </c>
      <c r="I9" s="16">
        <v>1</v>
      </c>
      <c r="J9" s="16" t="s">
        <v>209</v>
      </c>
      <c r="K9" s="16">
        <v>1</v>
      </c>
      <c r="L9" s="16">
        <v>1</v>
      </c>
      <c r="M9" s="16">
        <v>1</v>
      </c>
      <c r="N9" s="44" t="s">
        <v>111</v>
      </c>
      <c r="O9" s="16" t="s">
        <v>209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44" t="s">
        <v>111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44" t="s">
        <v>111</v>
      </c>
      <c r="AC9" s="16">
        <v>1</v>
      </c>
      <c r="AD9" s="16">
        <v>1</v>
      </c>
      <c r="AE9" s="16">
        <v>1</v>
      </c>
      <c r="AF9" s="16" t="s">
        <v>209</v>
      </c>
      <c r="AG9" s="16">
        <v>1</v>
      </c>
      <c r="AH9" s="28">
        <f>SUM(C9:AG9)</f>
        <v>24</v>
      </c>
      <c r="AI9" s="17">
        <f>COUNTIF(C9:AG9,"CT")</f>
        <v>3</v>
      </c>
      <c r="AJ9" s="16">
        <f>COUNTIF(C9:AG9,"S")</f>
        <v>0</v>
      </c>
      <c r="AK9" s="16">
        <f>COUNTIF(C9:AG9,"H1")</f>
        <v>0</v>
      </c>
      <c r="AL9" s="16">
        <f>COUNTIF(C9:AG9,"MG")</f>
        <v>4</v>
      </c>
      <c r="AM9" s="16">
        <f>COUNTIF(C9:AG9,"NAS")</f>
        <v>0</v>
      </c>
      <c r="AN9" s="16">
        <f>COUNTIF(C9:AG9,"H2")</f>
        <v>0</v>
      </c>
      <c r="AO9" s="16">
        <f>COUNTIF(C9:AG9,"P2")</f>
        <v>0</v>
      </c>
      <c r="AP9" s="16">
        <f>+AH9+AI9+AJ9+AK9+AL9+AM9+AN9+AO9</f>
        <v>31</v>
      </c>
      <c r="AQ9" s="16">
        <f>COUNTIF(C9:AG9,"CTH")</f>
        <v>0</v>
      </c>
      <c r="AR9" s="18">
        <f>COUNTIF(C9:AG9,"A")</f>
        <v>0</v>
      </c>
    </row>
    <row r="10" spans="1:44" s="19" customFormat="1" ht="42.75" customHeight="1" thickBot="1">
      <c r="A10" s="15" t="s">
        <v>118</v>
      </c>
      <c r="B10" s="41" t="s">
        <v>129</v>
      </c>
      <c r="C10" s="16">
        <v>1</v>
      </c>
      <c r="D10" s="16">
        <v>1</v>
      </c>
      <c r="E10" s="16">
        <v>1</v>
      </c>
      <c r="F10" s="16" t="s">
        <v>209</v>
      </c>
      <c r="G10" s="44" t="s">
        <v>111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44" t="s">
        <v>111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44" t="s">
        <v>111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44" t="s">
        <v>111</v>
      </c>
      <c r="AC10" s="16" t="s">
        <v>209</v>
      </c>
      <c r="AD10" s="16">
        <v>1</v>
      </c>
      <c r="AE10" s="16">
        <v>1</v>
      </c>
      <c r="AF10" s="16">
        <v>1</v>
      </c>
      <c r="AG10" s="16">
        <v>1</v>
      </c>
      <c r="AH10" s="28">
        <f>SUM(C10:AG10)</f>
        <v>25</v>
      </c>
      <c r="AI10" s="17">
        <f>COUNTIF(C10:AG10,"CT")</f>
        <v>2</v>
      </c>
      <c r="AJ10" s="16">
        <f>COUNTIF(C10:AG10,"S")</f>
        <v>0</v>
      </c>
      <c r="AK10" s="16">
        <f>COUNTIF(C10:AG10,"H1")</f>
        <v>0</v>
      </c>
      <c r="AL10" s="16">
        <f>COUNTIF(C10:AG10,"MG")</f>
        <v>4</v>
      </c>
      <c r="AM10" s="16">
        <f>COUNTIF(C10:AG10,"NAS")</f>
        <v>0</v>
      </c>
      <c r="AN10" s="16">
        <f>COUNTIF(C10:AG10,"H2")</f>
        <v>0</v>
      </c>
      <c r="AO10" s="16">
        <f>COUNTIF(C10:AG10,"P1")</f>
        <v>0</v>
      </c>
      <c r="AP10" s="16">
        <f>+AH10+AI10+AJ10+AK10+AL10+AM10+AN10+AO10</f>
        <v>31</v>
      </c>
      <c r="AQ10" s="16">
        <f>COUNTIF(C10:AG10,"CTH")</f>
        <v>0</v>
      </c>
      <c r="AR10" s="18">
        <f>COUNTIF(C10:AG10,"A")</f>
        <v>0</v>
      </c>
    </row>
    <row r="11" spans="1:44" s="26" customFormat="1" ht="42.75" customHeight="1" thickBot="1">
      <c r="A11" s="20"/>
      <c r="B11" s="21" t="s">
        <v>39</v>
      </c>
      <c r="C11" s="502">
        <f t="shared" ref="C11:AR11" si="0">SUM(C6:C10)</f>
        <v>5</v>
      </c>
      <c r="D11" s="22">
        <f t="shared" ref="D11:F11" si="1">SUM(D6:D10)</f>
        <v>5</v>
      </c>
      <c r="E11" s="22">
        <f t="shared" si="1"/>
        <v>5</v>
      </c>
      <c r="F11" s="25">
        <f t="shared" si="1"/>
        <v>3</v>
      </c>
      <c r="G11" s="45">
        <f t="shared" si="0"/>
        <v>0</v>
      </c>
      <c r="H11" s="22">
        <f t="shared" si="0"/>
        <v>5</v>
      </c>
      <c r="I11" s="22">
        <f t="shared" si="0"/>
        <v>3</v>
      </c>
      <c r="J11" s="22">
        <f t="shared" si="0"/>
        <v>4</v>
      </c>
      <c r="K11" s="22">
        <f t="shared" si="0"/>
        <v>5</v>
      </c>
      <c r="L11" s="22">
        <f t="shared" si="0"/>
        <v>5</v>
      </c>
      <c r="M11" s="22">
        <f t="shared" si="0"/>
        <v>5</v>
      </c>
      <c r="N11" s="45">
        <f t="shared" si="0"/>
        <v>0</v>
      </c>
      <c r="O11" s="22">
        <f t="shared" si="0"/>
        <v>3</v>
      </c>
      <c r="P11" s="22">
        <f t="shared" si="0"/>
        <v>5</v>
      </c>
      <c r="Q11" s="22">
        <f t="shared" si="0"/>
        <v>5</v>
      </c>
      <c r="R11" s="22">
        <f t="shared" si="0"/>
        <v>4</v>
      </c>
      <c r="S11" s="22">
        <f t="shared" si="0"/>
        <v>5</v>
      </c>
      <c r="T11" s="22">
        <f t="shared" si="0"/>
        <v>5</v>
      </c>
      <c r="U11" s="45">
        <f t="shared" si="0"/>
        <v>0</v>
      </c>
      <c r="V11" s="22">
        <f t="shared" si="0"/>
        <v>4</v>
      </c>
      <c r="W11" s="22">
        <f t="shared" si="0"/>
        <v>5</v>
      </c>
      <c r="X11" s="22">
        <f t="shared" si="0"/>
        <v>5</v>
      </c>
      <c r="Y11" s="22">
        <f t="shared" si="0"/>
        <v>4</v>
      </c>
      <c r="Z11" s="22">
        <f t="shared" si="0"/>
        <v>5</v>
      </c>
      <c r="AA11" s="22">
        <f t="shared" si="0"/>
        <v>5</v>
      </c>
      <c r="AB11" s="45">
        <f t="shared" si="0"/>
        <v>0</v>
      </c>
      <c r="AC11" s="23">
        <f t="shared" si="0"/>
        <v>4</v>
      </c>
      <c r="AD11" s="22">
        <f t="shared" si="0"/>
        <v>4</v>
      </c>
      <c r="AE11" s="22">
        <f t="shared" si="0"/>
        <v>5</v>
      </c>
      <c r="AF11" s="22">
        <f t="shared" si="0"/>
        <v>4</v>
      </c>
      <c r="AG11" s="23">
        <f t="shared" si="0"/>
        <v>5</v>
      </c>
      <c r="AH11" s="24">
        <f t="shared" si="0"/>
        <v>122</v>
      </c>
      <c r="AI11" s="25">
        <f t="shared" si="0"/>
        <v>8</v>
      </c>
      <c r="AJ11" s="22">
        <f t="shared" si="0"/>
        <v>4</v>
      </c>
      <c r="AK11" s="22">
        <f t="shared" si="0"/>
        <v>0</v>
      </c>
      <c r="AL11" s="22">
        <f t="shared" si="0"/>
        <v>20</v>
      </c>
      <c r="AM11" s="22">
        <f t="shared" si="0"/>
        <v>0</v>
      </c>
      <c r="AN11" s="22">
        <f t="shared" si="0"/>
        <v>0</v>
      </c>
      <c r="AO11" s="22">
        <f t="shared" si="0"/>
        <v>0</v>
      </c>
      <c r="AP11" s="22">
        <f t="shared" si="0"/>
        <v>154</v>
      </c>
      <c r="AQ11" s="22">
        <f t="shared" si="0"/>
        <v>0</v>
      </c>
      <c r="AR11" s="21">
        <f t="shared" si="0"/>
        <v>1</v>
      </c>
    </row>
    <row r="12" spans="1:44" ht="42.75" customHeight="1">
      <c r="A12" s="15"/>
      <c r="B12" s="27" t="s">
        <v>74</v>
      </c>
      <c r="C12" s="16">
        <f t="shared" ref="C12:AG12" si="2">COUNTIF(C6:C10,"CT")</f>
        <v>0</v>
      </c>
      <c r="D12" s="16">
        <f t="shared" si="2"/>
        <v>0</v>
      </c>
      <c r="E12" s="16">
        <f t="shared" si="2"/>
        <v>0</v>
      </c>
      <c r="F12" s="16">
        <f t="shared" si="2"/>
        <v>1</v>
      </c>
      <c r="G12" s="44">
        <f t="shared" si="2"/>
        <v>0</v>
      </c>
      <c r="H12" s="16">
        <f t="shared" si="2"/>
        <v>0</v>
      </c>
      <c r="I12" s="16">
        <f t="shared" si="2"/>
        <v>0</v>
      </c>
      <c r="J12" s="16">
        <f t="shared" si="2"/>
        <v>1</v>
      </c>
      <c r="K12" s="16">
        <f t="shared" si="2"/>
        <v>0</v>
      </c>
      <c r="L12" s="16">
        <f t="shared" si="2"/>
        <v>0</v>
      </c>
      <c r="M12" s="16">
        <f t="shared" si="2"/>
        <v>0</v>
      </c>
      <c r="N12" s="44">
        <f t="shared" si="2"/>
        <v>0</v>
      </c>
      <c r="O12" s="16">
        <f t="shared" si="2"/>
        <v>2</v>
      </c>
      <c r="P12" s="16">
        <f t="shared" si="2"/>
        <v>0</v>
      </c>
      <c r="Q12" s="16">
        <f t="shared" si="2"/>
        <v>0</v>
      </c>
      <c r="R12" s="16">
        <f t="shared" si="2"/>
        <v>0</v>
      </c>
      <c r="S12" s="16">
        <f t="shared" si="2"/>
        <v>0</v>
      </c>
      <c r="T12" s="16">
        <f t="shared" si="2"/>
        <v>0</v>
      </c>
      <c r="U12" s="44">
        <f t="shared" si="2"/>
        <v>0</v>
      </c>
      <c r="V12" s="16">
        <f t="shared" si="2"/>
        <v>1</v>
      </c>
      <c r="W12" s="16">
        <f t="shared" si="2"/>
        <v>0</v>
      </c>
      <c r="X12" s="16">
        <f t="shared" si="2"/>
        <v>0</v>
      </c>
      <c r="Y12" s="16">
        <f t="shared" si="2"/>
        <v>0</v>
      </c>
      <c r="Z12" s="16">
        <f t="shared" si="2"/>
        <v>0</v>
      </c>
      <c r="AA12" s="16">
        <f t="shared" si="2"/>
        <v>0</v>
      </c>
      <c r="AB12" s="44">
        <f t="shared" si="2"/>
        <v>0</v>
      </c>
      <c r="AC12" s="16">
        <f t="shared" si="2"/>
        <v>1</v>
      </c>
      <c r="AD12" s="16">
        <f t="shared" si="2"/>
        <v>1</v>
      </c>
      <c r="AE12" s="16">
        <f t="shared" si="2"/>
        <v>0</v>
      </c>
      <c r="AF12" s="16">
        <f t="shared" si="2"/>
        <v>1</v>
      </c>
      <c r="AG12" s="517">
        <f t="shared" si="2"/>
        <v>0</v>
      </c>
      <c r="AH12" s="28">
        <f t="shared" ref="AH12:AH19" si="3">SUM(C12:AG12)</f>
        <v>8</v>
      </c>
    </row>
    <row r="13" spans="1:44" ht="42.75" customHeight="1">
      <c r="A13" s="15"/>
      <c r="B13" s="29" t="s">
        <v>13</v>
      </c>
      <c r="C13" s="16">
        <f t="shared" ref="C13:AG13" si="4">COUNTIF(C6:C10,"S")</f>
        <v>0</v>
      </c>
      <c r="D13" s="16">
        <f t="shared" si="4"/>
        <v>0</v>
      </c>
      <c r="E13" s="16">
        <f t="shared" si="4"/>
        <v>0</v>
      </c>
      <c r="F13" s="16">
        <f t="shared" si="4"/>
        <v>0</v>
      </c>
      <c r="G13" s="44">
        <f t="shared" si="4"/>
        <v>0</v>
      </c>
      <c r="H13" s="16">
        <f t="shared" si="4"/>
        <v>0</v>
      </c>
      <c r="I13" s="16">
        <f t="shared" si="4"/>
        <v>2</v>
      </c>
      <c r="J13" s="16">
        <f t="shared" si="4"/>
        <v>0</v>
      </c>
      <c r="K13" s="16">
        <f t="shared" si="4"/>
        <v>0</v>
      </c>
      <c r="L13" s="16">
        <f t="shared" si="4"/>
        <v>0</v>
      </c>
      <c r="M13" s="16">
        <f t="shared" si="4"/>
        <v>0</v>
      </c>
      <c r="N13" s="44">
        <f t="shared" si="4"/>
        <v>0</v>
      </c>
      <c r="O13" s="16">
        <f t="shared" si="4"/>
        <v>0</v>
      </c>
      <c r="P13" s="16">
        <f t="shared" si="4"/>
        <v>0</v>
      </c>
      <c r="Q13" s="16">
        <f t="shared" si="4"/>
        <v>0</v>
      </c>
      <c r="R13" s="16">
        <f t="shared" si="4"/>
        <v>1</v>
      </c>
      <c r="S13" s="16">
        <f t="shared" si="4"/>
        <v>0</v>
      </c>
      <c r="T13" s="16">
        <f t="shared" si="4"/>
        <v>0</v>
      </c>
      <c r="U13" s="44">
        <f t="shared" si="4"/>
        <v>0</v>
      </c>
      <c r="V13" s="16">
        <f t="shared" si="4"/>
        <v>0</v>
      </c>
      <c r="W13" s="16">
        <f t="shared" si="4"/>
        <v>0</v>
      </c>
      <c r="X13" s="16">
        <f t="shared" si="4"/>
        <v>0</v>
      </c>
      <c r="Y13" s="16">
        <f t="shared" si="4"/>
        <v>1</v>
      </c>
      <c r="Z13" s="16">
        <f t="shared" si="4"/>
        <v>0</v>
      </c>
      <c r="AA13" s="16">
        <f t="shared" si="4"/>
        <v>0</v>
      </c>
      <c r="AB13" s="44">
        <f t="shared" si="4"/>
        <v>0</v>
      </c>
      <c r="AC13" s="16">
        <f t="shared" si="4"/>
        <v>0</v>
      </c>
      <c r="AD13" s="16">
        <f t="shared" si="4"/>
        <v>0</v>
      </c>
      <c r="AE13" s="16">
        <f t="shared" si="4"/>
        <v>0</v>
      </c>
      <c r="AF13" s="16">
        <f t="shared" si="4"/>
        <v>0</v>
      </c>
      <c r="AG13" s="517">
        <f t="shared" si="4"/>
        <v>0</v>
      </c>
      <c r="AH13" s="28">
        <f t="shared" si="3"/>
        <v>4</v>
      </c>
    </row>
    <row r="14" spans="1:44" ht="42.75" customHeight="1">
      <c r="A14" s="15"/>
      <c r="B14" s="29" t="s">
        <v>15</v>
      </c>
      <c r="C14" s="16">
        <f t="shared" ref="C14:AG14" si="5">COUNTIF(C6:C10,"MG")</f>
        <v>0</v>
      </c>
      <c r="D14" s="16">
        <f t="shared" si="5"/>
        <v>0</v>
      </c>
      <c r="E14" s="16">
        <f t="shared" si="5"/>
        <v>0</v>
      </c>
      <c r="F14" s="16">
        <f t="shared" si="5"/>
        <v>0</v>
      </c>
      <c r="G14" s="44">
        <f t="shared" si="5"/>
        <v>5</v>
      </c>
      <c r="H14" s="16">
        <f t="shared" si="5"/>
        <v>0</v>
      </c>
      <c r="I14" s="16">
        <f t="shared" si="5"/>
        <v>0</v>
      </c>
      <c r="J14" s="16">
        <f t="shared" si="5"/>
        <v>0</v>
      </c>
      <c r="K14" s="16">
        <f t="shared" si="5"/>
        <v>0</v>
      </c>
      <c r="L14" s="16">
        <f t="shared" si="5"/>
        <v>0</v>
      </c>
      <c r="M14" s="16">
        <f t="shared" si="5"/>
        <v>0</v>
      </c>
      <c r="N14" s="44">
        <f t="shared" si="5"/>
        <v>5</v>
      </c>
      <c r="O14" s="16">
        <f t="shared" si="5"/>
        <v>0</v>
      </c>
      <c r="P14" s="16">
        <f t="shared" si="5"/>
        <v>0</v>
      </c>
      <c r="Q14" s="16">
        <f t="shared" si="5"/>
        <v>0</v>
      </c>
      <c r="R14" s="16">
        <f t="shared" si="5"/>
        <v>0</v>
      </c>
      <c r="S14" s="16">
        <f t="shared" si="5"/>
        <v>0</v>
      </c>
      <c r="T14" s="16">
        <f t="shared" si="5"/>
        <v>0</v>
      </c>
      <c r="U14" s="44">
        <f t="shared" si="5"/>
        <v>5</v>
      </c>
      <c r="V14" s="16">
        <f t="shared" si="5"/>
        <v>0</v>
      </c>
      <c r="W14" s="16">
        <f t="shared" si="5"/>
        <v>0</v>
      </c>
      <c r="X14" s="16">
        <f t="shared" si="5"/>
        <v>0</v>
      </c>
      <c r="Y14" s="16">
        <f t="shared" si="5"/>
        <v>0</v>
      </c>
      <c r="Z14" s="16">
        <f t="shared" si="5"/>
        <v>0</v>
      </c>
      <c r="AA14" s="16">
        <f t="shared" si="5"/>
        <v>0</v>
      </c>
      <c r="AB14" s="44">
        <f t="shared" si="5"/>
        <v>5</v>
      </c>
      <c r="AC14" s="16">
        <f t="shared" si="5"/>
        <v>0</v>
      </c>
      <c r="AD14" s="16">
        <f t="shared" si="5"/>
        <v>0</v>
      </c>
      <c r="AE14" s="16">
        <f t="shared" si="5"/>
        <v>0</v>
      </c>
      <c r="AF14" s="16">
        <f>COUNTIF(AF6:AF10,"MG")</f>
        <v>0</v>
      </c>
      <c r="AG14" s="517">
        <f t="shared" si="5"/>
        <v>0</v>
      </c>
      <c r="AH14" s="28">
        <f t="shared" si="3"/>
        <v>20</v>
      </c>
    </row>
    <row r="15" spans="1:44" ht="42.75" customHeight="1">
      <c r="A15" s="15"/>
      <c r="B15" s="29" t="s">
        <v>16</v>
      </c>
      <c r="C15" s="16">
        <f t="shared" ref="C15:AG15" si="6">COUNTIF(C6:C10,"NAS")</f>
        <v>0</v>
      </c>
      <c r="D15" s="16">
        <f t="shared" si="6"/>
        <v>0</v>
      </c>
      <c r="E15" s="16">
        <f t="shared" si="6"/>
        <v>0</v>
      </c>
      <c r="F15" s="16">
        <f t="shared" si="6"/>
        <v>0</v>
      </c>
      <c r="G15" s="44">
        <f t="shared" si="6"/>
        <v>0</v>
      </c>
      <c r="H15" s="16">
        <f t="shared" si="6"/>
        <v>0</v>
      </c>
      <c r="I15" s="16">
        <f t="shared" si="6"/>
        <v>0</v>
      </c>
      <c r="J15" s="16">
        <f t="shared" si="6"/>
        <v>0</v>
      </c>
      <c r="K15" s="16">
        <f t="shared" si="6"/>
        <v>0</v>
      </c>
      <c r="L15" s="16">
        <f t="shared" si="6"/>
        <v>0</v>
      </c>
      <c r="M15" s="16">
        <f t="shared" si="6"/>
        <v>0</v>
      </c>
      <c r="N15" s="44">
        <f t="shared" si="6"/>
        <v>0</v>
      </c>
      <c r="O15" s="16">
        <f t="shared" si="6"/>
        <v>0</v>
      </c>
      <c r="P15" s="16">
        <f t="shared" si="6"/>
        <v>0</v>
      </c>
      <c r="Q15" s="16">
        <f t="shared" si="6"/>
        <v>0</v>
      </c>
      <c r="R15" s="16">
        <f t="shared" si="6"/>
        <v>0</v>
      </c>
      <c r="S15" s="16">
        <f t="shared" si="6"/>
        <v>0</v>
      </c>
      <c r="T15" s="16">
        <f t="shared" si="6"/>
        <v>0</v>
      </c>
      <c r="U15" s="44">
        <f t="shared" si="6"/>
        <v>0</v>
      </c>
      <c r="V15" s="16">
        <f t="shared" si="6"/>
        <v>0</v>
      </c>
      <c r="W15" s="16">
        <f t="shared" si="6"/>
        <v>0</v>
      </c>
      <c r="X15" s="16">
        <f t="shared" si="6"/>
        <v>0</v>
      </c>
      <c r="Y15" s="16">
        <f t="shared" si="6"/>
        <v>0</v>
      </c>
      <c r="Z15" s="16">
        <f t="shared" si="6"/>
        <v>0</v>
      </c>
      <c r="AA15" s="16">
        <f t="shared" si="6"/>
        <v>0</v>
      </c>
      <c r="AB15" s="44">
        <f t="shared" si="6"/>
        <v>0</v>
      </c>
      <c r="AC15" s="16">
        <f t="shared" si="6"/>
        <v>0</v>
      </c>
      <c r="AD15" s="16">
        <f t="shared" si="6"/>
        <v>0</v>
      </c>
      <c r="AE15" s="16">
        <f t="shared" si="6"/>
        <v>0</v>
      </c>
      <c r="AF15" s="16">
        <f t="shared" si="6"/>
        <v>0</v>
      </c>
      <c r="AG15" s="517">
        <f t="shared" si="6"/>
        <v>0</v>
      </c>
      <c r="AH15" s="28">
        <f t="shared" si="3"/>
        <v>0</v>
      </c>
    </row>
    <row r="16" spans="1:44" ht="42.75" customHeight="1">
      <c r="A16" s="15"/>
      <c r="B16" s="29" t="s">
        <v>126</v>
      </c>
      <c r="C16" s="16">
        <f t="shared" ref="C16:AG16" si="7">COUNTIF(C6:C10,"H1")</f>
        <v>0</v>
      </c>
      <c r="D16" s="16">
        <f t="shared" si="7"/>
        <v>0</v>
      </c>
      <c r="E16" s="16">
        <f t="shared" si="7"/>
        <v>0</v>
      </c>
      <c r="F16" s="16">
        <f t="shared" si="7"/>
        <v>0</v>
      </c>
      <c r="G16" s="44">
        <f t="shared" si="7"/>
        <v>0</v>
      </c>
      <c r="H16" s="16">
        <f t="shared" si="7"/>
        <v>0</v>
      </c>
      <c r="I16" s="16">
        <f t="shared" si="7"/>
        <v>0</v>
      </c>
      <c r="J16" s="16">
        <f t="shared" si="7"/>
        <v>0</v>
      </c>
      <c r="K16" s="16">
        <f t="shared" si="7"/>
        <v>0</v>
      </c>
      <c r="L16" s="16">
        <f t="shared" si="7"/>
        <v>0</v>
      </c>
      <c r="M16" s="16">
        <f t="shared" si="7"/>
        <v>0</v>
      </c>
      <c r="N16" s="44">
        <f t="shared" si="7"/>
        <v>0</v>
      </c>
      <c r="O16" s="16">
        <f t="shared" si="7"/>
        <v>0</v>
      </c>
      <c r="P16" s="16">
        <f t="shared" si="7"/>
        <v>0</v>
      </c>
      <c r="Q16" s="16">
        <f t="shared" si="7"/>
        <v>0</v>
      </c>
      <c r="R16" s="16">
        <f t="shared" si="7"/>
        <v>0</v>
      </c>
      <c r="S16" s="16">
        <f t="shared" si="7"/>
        <v>0</v>
      </c>
      <c r="T16" s="16">
        <f t="shared" si="7"/>
        <v>0</v>
      </c>
      <c r="U16" s="44">
        <f t="shared" si="7"/>
        <v>0</v>
      </c>
      <c r="V16" s="16">
        <f t="shared" si="7"/>
        <v>0</v>
      </c>
      <c r="W16" s="16">
        <f t="shared" si="7"/>
        <v>0</v>
      </c>
      <c r="X16" s="16">
        <f t="shared" si="7"/>
        <v>0</v>
      </c>
      <c r="Y16" s="16">
        <f t="shared" si="7"/>
        <v>0</v>
      </c>
      <c r="Z16" s="16">
        <f t="shared" si="7"/>
        <v>0</v>
      </c>
      <c r="AA16" s="16">
        <f t="shared" si="7"/>
        <v>0</v>
      </c>
      <c r="AB16" s="44">
        <f t="shared" si="7"/>
        <v>0</v>
      </c>
      <c r="AC16" s="16">
        <f t="shared" si="7"/>
        <v>0</v>
      </c>
      <c r="AD16" s="16">
        <f t="shared" si="7"/>
        <v>0</v>
      </c>
      <c r="AE16" s="16">
        <f t="shared" si="7"/>
        <v>0</v>
      </c>
      <c r="AF16" s="16">
        <f t="shared" si="7"/>
        <v>0</v>
      </c>
      <c r="AG16" s="517">
        <f t="shared" si="7"/>
        <v>0</v>
      </c>
      <c r="AH16" s="28">
        <f t="shared" si="3"/>
        <v>0</v>
      </c>
    </row>
    <row r="17" spans="1:34" ht="42.75" customHeight="1">
      <c r="A17" s="15"/>
      <c r="B17" s="29" t="s">
        <v>127</v>
      </c>
      <c r="C17" s="16">
        <f t="shared" ref="C17:AG17" si="8">COUNTIF(C6:C10,"H2")</f>
        <v>0</v>
      </c>
      <c r="D17" s="16">
        <f t="shared" si="8"/>
        <v>0</v>
      </c>
      <c r="E17" s="16">
        <f t="shared" si="8"/>
        <v>0</v>
      </c>
      <c r="F17" s="16">
        <f t="shared" si="8"/>
        <v>0</v>
      </c>
      <c r="G17" s="44">
        <f t="shared" si="8"/>
        <v>0</v>
      </c>
      <c r="H17" s="16">
        <f t="shared" si="8"/>
        <v>0</v>
      </c>
      <c r="I17" s="16">
        <f>COUNTIF(I6:I10,"P2")</f>
        <v>0</v>
      </c>
      <c r="J17" s="16">
        <f t="shared" si="8"/>
        <v>0</v>
      </c>
      <c r="K17" s="16">
        <f t="shared" si="8"/>
        <v>0</v>
      </c>
      <c r="L17" s="16">
        <f t="shared" si="8"/>
        <v>0</v>
      </c>
      <c r="M17" s="16">
        <f t="shared" si="8"/>
        <v>0</v>
      </c>
      <c r="N17" s="44">
        <f t="shared" si="8"/>
        <v>0</v>
      </c>
      <c r="O17" s="16">
        <f t="shared" si="8"/>
        <v>0</v>
      </c>
      <c r="P17" s="16">
        <f t="shared" si="8"/>
        <v>0</v>
      </c>
      <c r="Q17" s="16">
        <f t="shared" si="8"/>
        <v>0</v>
      </c>
      <c r="R17" s="16">
        <f t="shared" si="8"/>
        <v>0</v>
      </c>
      <c r="S17" s="16">
        <f>COUNTIF(S6:S10,"H2")</f>
        <v>0</v>
      </c>
      <c r="T17" s="16">
        <f t="shared" si="8"/>
        <v>0</v>
      </c>
      <c r="U17" s="44">
        <f t="shared" si="8"/>
        <v>0</v>
      </c>
      <c r="V17" s="16">
        <f t="shared" si="8"/>
        <v>0</v>
      </c>
      <c r="W17" s="16">
        <f t="shared" si="8"/>
        <v>0</v>
      </c>
      <c r="X17" s="16">
        <f t="shared" si="8"/>
        <v>0</v>
      </c>
      <c r="Y17" s="16">
        <f t="shared" si="8"/>
        <v>0</v>
      </c>
      <c r="Z17" s="16">
        <f t="shared" si="8"/>
        <v>0</v>
      </c>
      <c r="AA17" s="16">
        <f t="shared" si="8"/>
        <v>0</v>
      </c>
      <c r="AB17" s="44">
        <f t="shared" si="8"/>
        <v>0</v>
      </c>
      <c r="AC17" s="16">
        <f t="shared" si="8"/>
        <v>0</v>
      </c>
      <c r="AD17" s="16">
        <f t="shared" si="8"/>
        <v>0</v>
      </c>
      <c r="AE17" s="16">
        <f t="shared" si="8"/>
        <v>0</v>
      </c>
      <c r="AF17" s="16">
        <f t="shared" si="8"/>
        <v>0</v>
      </c>
      <c r="AG17" s="517">
        <f t="shared" si="8"/>
        <v>0</v>
      </c>
      <c r="AH17" s="28">
        <f t="shared" si="3"/>
        <v>0</v>
      </c>
    </row>
    <row r="18" spans="1:34" ht="42.75" customHeight="1">
      <c r="A18" s="15"/>
      <c r="B18" s="29" t="s">
        <v>120</v>
      </c>
      <c r="C18" s="16">
        <f t="shared" ref="C18:AG18" si="9">COUNTIF(C6:C10,"A")</f>
        <v>0</v>
      </c>
      <c r="D18" s="16">
        <f t="shared" si="9"/>
        <v>0</v>
      </c>
      <c r="E18" s="16">
        <f t="shared" si="9"/>
        <v>0</v>
      </c>
      <c r="F18" s="16">
        <f t="shared" si="9"/>
        <v>1</v>
      </c>
      <c r="G18" s="44">
        <f t="shared" si="9"/>
        <v>0</v>
      </c>
      <c r="H18" s="16">
        <f t="shared" si="9"/>
        <v>0</v>
      </c>
      <c r="I18" s="16">
        <f t="shared" si="9"/>
        <v>0</v>
      </c>
      <c r="J18" s="16">
        <f t="shared" si="9"/>
        <v>0</v>
      </c>
      <c r="K18" s="16">
        <f t="shared" si="9"/>
        <v>0</v>
      </c>
      <c r="L18" s="16">
        <f t="shared" si="9"/>
        <v>0</v>
      </c>
      <c r="M18" s="16">
        <f t="shared" si="9"/>
        <v>0</v>
      </c>
      <c r="N18" s="44">
        <f t="shared" si="9"/>
        <v>0</v>
      </c>
      <c r="O18" s="16">
        <f t="shared" si="9"/>
        <v>0</v>
      </c>
      <c r="P18" s="16">
        <f t="shared" si="9"/>
        <v>0</v>
      </c>
      <c r="Q18" s="16">
        <f t="shared" si="9"/>
        <v>0</v>
      </c>
      <c r="R18" s="16">
        <f t="shared" si="9"/>
        <v>0</v>
      </c>
      <c r="S18" s="16">
        <f t="shared" si="9"/>
        <v>0</v>
      </c>
      <c r="T18" s="16">
        <f t="shared" si="9"/>
        <v>0</v>
      </c>
      <c r="U18" s="44">
        <f t="shared" si="9"/>
        <v>0</v>
      </c>
      <c r="V18" s="16">
        <f t="shared" si="9"/>
        <v>0</v>
      </c>
      <c r="W18" s="16">
        <f t="shared" si="9"/>
        <v>0</v>
      </c>
      <c r="X18" s="16">
        <f t="shared" si="9"/>
        <v>0</v>
      </c>
      <c r="Y18" s="16">
        <f t="shared" si="9"/>
        <v>0</v>
      </c>
      <c r="Z18" s="16">
        <f t="shared" si="9"/>
        <v>0</v>
      </c>
      <c r="AA18" s="16">
        <f t="shared" si="9"/>
        <v>0</v>
      </c>
      <c r="AB18" s="44">
        <f t="shared" si="9"/>
        <v>0</v>
      </c>
      <c r="AC18" s="16">
        <f t="shared" si="9"/>
        <v>0</v>
      </c>
      <c r="AD18" s="16">
        <f t="shared" si="9"/>
        <v>0</v>
      </c>
      <c r="AE18" s="16">
        <f t="shared" si="9"/>
        <v>0</v>
      </c>
      <c r="AF18" s="16">
        <f t="shared" si="9"/>
        <v>0</v>
      </c>
      <c r="AG18" s="517">
        <f t="shared" si="9"/>
        <v>0</v>
      </c>
      <c r="AH18" s="28">
        <f t="shared" si="3"/>
        <v>1</v>
      </c>
    </row>
    <row r="19" spans="1:34" ht="42.75" customHeight="1" thickBot="1">
      <c r="A19" s="30"/>
      <c r="B19" s="31" t="s">
        <v>32</v>
      </c>
      <c r="C19" s="32">
        <f t="shared" ref="C19:AG19" si="10">COUNTIF(C6:C10,"CTH")</f>
        <v>0</v>
      </c>
      <c r="D19" s="32">
        <f t="shared" si="10"/>
        <v>0</v>
      </c>
      <c r="E19" s="32">
        <f t="shared" si="10"/>
        <v>0</v>
      </c>
      <c r="F19" s="32">
        <f t="shared" si="10"/>
        <v>0</v>
      </c>
      <c r="G19" s="46">
        <f t="shared" si="10"/>
        <v>0</v>
      </c>
      <c r="H19" s="32">
        <f t="shared" si="10"/>
        <v>0</v>
      </c>
      <c r="I19" s="32">
        <f t="shared" si="10"/>
        <v>0</v>
      </c>
      <c r="J19" s="32">
        <f t="shared" si="10"/>
        <v>0</v>
      </c>
      <c r="K19" s="32">
        <f t="shared" si="10"/>
        <v>0</v>
      </c>
      <c r="L19" s="32">
        <f t="shared" si="10"/>
        <v>0</v>
      </c>
      <c r="M19" s="32">
        <f t="shared" si="10"/>
        <v>0</v>
      </c>
      <c r="N19" s="46">
        <f t="shared" si="10"/>
        <v>0</v>
      </c>
      <c r="O19" s="32">
        <f t="shared" si="10"/>
        <v>0</v>
      </c>
      <c r="P19" s="32">
        <f t="shared" si="10"/>
        <v>0</v>
      </c>
      <c r="Q19" s="32">
        <f t="shared" si="10"/>
        <v>0</v>
      </c>
      <c r="R19" s="32">
        <f t="shared" si="10"/>
        <v>0</v>
      </c>
      <c r="S19" s="32">
        <f t="shared" si="10"/>
        <v>0</v>
      </c>
      <c r="T19" s="32">
        <f t="shared" si="10"/>
        <v>0</v>
      </c>
      <c r="U19" s="46">
        <f t="shared" si="10"/>
        <v>0</v>
      </c>
      <c r="V19" s="32">
        <f t="shared" si="10"/>
        <v>0</v>
      </c>
      <c r="W19" s="32">
        <f t="shared" si="10"/>
        <v>0</v>
      </c>
      <c r="X19" s="32">
        <f t="shared" si="10"/>
        <v>0</v>
      </c>
      <c r="Y19" s="32">
        <f t="shared" si="10"/>
        <v>0</v>
      </c>
      <c r="Z19" s="32">
        <f t="shared" si="10"/>
        <v>0</v>
      </c>
      <c r="AA19" s="32">
        <f t="shared" si="10"/>
        <v>0</v>
      </c>
      <c r="AB19" s="46">
        <f t="shared" si="10"/>
        <v>0</v>
      </c>
      <c r="AC19" s="32">
        <f t="shared" si="10"/>
        <v>0</v>
      </c>
      <c r="AD19" s="32">
        <f t="shared" si="10"/>
        <v>0</v>
      </c>
      <c r="AE19" s="32">
        <f t="shared" si="10"/>
        <v>0</v>
      </c>
      <c r="AF19" s="32">
        <f t="shared" si="10"/>
        <v>0</v>
      </c>
      <c r="AG19" s="518">
        <f t="shared" si="10"/>
        <v>0</v>
      </c>
      <c r="AH19" s="33">
        <f t="shared" si="3"/>
        <v>0</v>
      </c>
    </row>
    <row r="20" spans="1:34" s="37" customFormat="1" ht="42.75" customHeight="1" thickBot="1">
      <c r="A20" s="34"/>
      <c r="B20" s="35" t="s">
        <v>103</v>
      </c>
      <c r="C20" s="35">
        <f t="shared" ref="C20:AH20" si="11">SUM(C11:C19)</f>
        <v>5</v>
      </c>
      <c r="D20" s="35">
        <f t="shared" si="11"/>
        <v>5</v>
      </c>
      <c r="E20" s="35">
        <f t="shared" si="11"/>
        <v>5</v>
      </c>
      <c r="F20" s="35">
        <f t="shared" si="11"/>
        <v>5</v>
      </c>
      <c r="G20" s="47">
        <f t="shared" si="11"/>
        <v>5</v>
      </c>
      <c r="H20" s="35">
        <f t="shared" si="11"/>
        <v>5</v>
      </c>
      <c r="I20" s="35">
        <f t="shared" si="11"/>
        <v>5</v>
      </c>
      <c r="J20" s="35">
        <f t="shared" si="11"/>
        <v>5</v>
      </c>
      <c r="K20" s="35">
        <f t="shared" si="11"/>
        <v>5</v>
      </c>
      <c r="L20" s="35">
        <f t="shared" si="11"/>
        <v>5</v>
      </c>
      <c r="M20" s="35">
        <f t="shared" si="11"/>
        <v>5</v>
      </c>
      <c r="N20" s="47">
        <f t="shared" si="11"/>
        <v>5</v>
      </c>
      <c r="O20" s="35">
        <f t="shared" si="11"/>
        <v>5</v>
      </c>
      <c r="P20" s="35">
        <f t="shared" si="11"/>
        <v>5</v>
      </c>
      <c r="Q20" s="35">
        <f t="shared" si="11"/>
        <v>5</v>
      </c>
      <c r="R20" s="35">
        <f t="shared" si="11"/>
        <v>5</v>
      </c>
      <c r="S20" s="35">
        <f t="shared" si="11"/>
        <v>5</v>
      </c>
      <c r="T20" s="35">
        <f t="shared" si="11"/>
        <v>5</v>
      </c>
      <c r="U20" s="47">
        <f t="shared" si="11"/>
        <v>5</v>
      </c>
      <c r="V20" s="35">
        <f t="shared" si="11"/>
        <v>5</v>
      </c>
      <c r="W20" s="35">
        <f t="shared" si="11"/>
        <v>5</v>
      </c>
      <c r="X20" s="35">
        <f t="shared" si="11"/>
        <v>5</v>
      </c>
      <c r="Y20" s="35">
        <f t="shared" si="11"/>
        <v>5</v>
      </c>
      <c r="Z20" s="35">
        <f t="shared" si="11"/>
        <v>5</v>
      </c>
      <c r="AA20" s="35">
        <f t="shared" si="11"/>
        <v>5</v>
      </c>
      <c r="AB20" s="47">
        <f t="shared" si="11"/>
        <v>5</v>
      </c>
      <c r="AC20" s="35">
        <f t="shared" si="11"/>
        <v>5</v>
      </c>
      <c r="AD20" s="35">
        <f t="shared" si="11"/>
        <v>5</v>
      </c>
      <c r="AE20" s="35">
        <f t="shared" si="11"/>
        <v>5</v>
      </c>
      <c r="AF20" s="35">
        <f t="shared" si="11"/>
        <v>5</v>
      </c>
      <c r="AG20" s="519">
        <f t="shared" si="11"/>
        <v>5</v>
      </c>
      <c r="AH20" s="36">
        <f t="shared" si="11"/>
        <v>155</v>
      </c>
    </row>
    <row r="21" spans="1:34">
      <c r="A21" s="38"/>
      <c r="B21" s="38"/>
    </row>
    <row r="22" spans="1:34">
      <c r="A22" s="38"/>
      <c r="B22" s="38"/>
    </row>
  </sheetData>
  <mergeCells count="10">
    <mergeCell ref="AR4:AR5"/>
    <mergeCell ref="AI4:AO4"/>
    <mergeCell ref="AP4:AP5"/>
    <mergeCell ref="AQ4:AQ5"/>
    <mergeCell ref="A1:B1"/>
    <mergeCell ref="A3:B3"/>
    <mergeCell ref="A4:A5"/>
    <mergeCell ref="B4:B5"/>
    <mergeCell ref="C4:AG4"/>
    <mergeCell ref="AH4:AH5"/>
  </mergeCells>
  <conditionalFormatting sqref="C6:AG10">
    <cfRule type="iconSet" priority="152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3.937007874015748E-2" right="3.937007874015748E-2" top="0" bottom="0" header="0" footer="0"/>
  <pageSetup paperSize="9" scale="37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F22" sqref="AF22"/>
    </sheetView>
  </sheetViews>
  <sheetFormatPr defaultRowHeight="15"/>
  <cols>
    <col min="1" max="1" width="18.28515625" style="263" customWidth="1"/>
    <col min="2" max="2" width="4.85546875" style="263" customWidth="1"/>
    <col min="3" max="6" width="5" style="263" customWidth="1"/>
    <col min="7" max="7" width="5" style="264" customWidth="1"/>
    <col min="8" max="13" width="5" style="263" customWidth="1"/>
    <col min="14" max="14" width="5" style="264" customWidth="1"/>
    <col min="15" max="19" width="5" style="263" customWidth="1"/>
    <col min="20" max="20" width="5.42578125" style="263" customWidth="1"/>
    <col min="21" max="21" width="5" style="264" customWidth="1"/>
    <col min="22" max="27" width="5" style="263" customWidth="1"/>
    <col min="28" max="28" width="5" style="264" customWidth="1"/>
    <col min="29" max="33" width="5" style="263" customWidth="1"/>
    <col min="34" max="34" width="7" style="263" customWidth="1"/>
    <col min="35" max="35" width="11.28515625" style="265" customWidth="1"/>
    <col min="36" max="36" width="15.42578125" style="266" customWidth="1"/>
    <col min="37" max="38" width="11.140625" style="263" bestFit="1" customWidth="1"/>
    <col min="39" max="39" width="11.28515625" style="263" bestFit="1" customWidth="1"/>
    <col min="40" max="16384" width="9.140625" style="263"/>
  </cols>
  <sheetData>
    <row r="1" spans="1:39" s="228" customFormat="1" ht="19.5" thickBot="1">
      <c r="A1" s="227" t="s">
        <v>133</v>
      </c>
      <c r="B1" s="227"/>
      <c r="C1" s="227"/>
      <c r="D1" s="227"/>
      <c r="G1" s="452"/>
      <c r="J1" s="229"/>
      <c r="K1" s="229"/>
      <c r="L1" s="229"/>
      <c r="M1" s="229"/>
      <c r="N1" s="267"/>
      <c r="O1" s="229"/>
      <c r="P1" s="229"/>
      <c r="Q1" s="229"/>
      <c r="R1" s="229"/>
      <c r="S1" s="229"/>
      <c r="T1" s="229"/>
      <c r="U1" s="267"/>
      <c r="V1" s="229"/>
      <c r="W1" s="229"/>
      <c r="X1" s="229"/>
      <c r="Y1" s="229"/>
      <c r="Z1" s="229"/>
      <c r="AA1" s="229"/>
      <c r="AB1" s="267"/>
      <c r="AC1" s="229"/>
      <c r="AD1" s="229"/>
      <c r="AE1" s="229"/>
      <c r="AF1" s="229"/>
      <c r="AG1" s="229"/>
      <c r="AH1" s="229"/>
      <c r="AI1" s="230"/>
      <c r="AJ1" s="231"/>
    </row>
    <row r="2" spans="1:39" s="233" customFormat="1">
      <c r="A2" s="561" t="s">
        <v>51</v>
      </c>
      <c r="B2" s="563" t="s">
        <v>121</v>
      </c>
      <c r="C2" s="565" t="s">
        <v>107</v>
      </c>
      <c r="D2" s="565"/>
      <c r="E2" s="565"/>
      <c r="F2" s="565"/>
      <c r="G2" s="565"/>
      <c r="H2" s="565"/>
      <c r="I2" s="565"/>
      <c r="J2" s="566"/>
      <c r="K2" s="566"/>
      <c r="L2" s="566"/>
      <c r="M2" s="566"/>
      <c r="N2" s="566"/>
      <c r="O2" s="566"/>
      <c r="P2" s="566"/>
      <c r="Q2" s="566"/>
      <c r="R2" s="566"/>
      <c r="S2" s="566"/>
      <c r="T2" s="566"/>
      <c r="U2" s="566"/>
      <c r="V2" s="566"/>
      <c r="W2" s="566"/>
      <c r="X2" s="566"/>
      <c r="Y2" s="566"/>
      <c r="Z2" s="566"/>
      <c r="AA2" s="566"/>
      <c r="AB2" s="566"/>
      <c r="AC2" s="566"/>
      <c r="AD2" s="566"/>
      <c r="AE2" s="566"/>
      <c r="AF2" s="566"/>
      <c r="AG2" s="567"/>
      <c r="AH2" s="232" t="s">
        <v>39</v>
      </c>
      <c r="AI2" s="570" t="s">
        <v>122</v>
      </c>
      <c r="AJ2" s="568" t="s">
        <v>39</v>
      </c>
    </row>
    <row r="3" spans="1:39" s="233" customFormat="1" ht="15.75" thickBot="1">
      <c r="A3" s="562"/>
      <c r="B3" s="564"/>
      <c r="C3" s="234">
        <v>1</v>
      </c>
      <c r="D3" s="234">
        <v>2</v>
      </c>
      <c r="E3" s="234">
        <v>3</v>
      </c>
      <c r="F3" s="234">
        <v>4</v>
      </c>
      <c r="G3" s="235">
        <v>5</v>
      </c>
      <c r="H3" s="234">
        <v>6</v>
      </c>
      <c r="I3" s="234">
        <v>7</v>
      </c>
      <c r="J3" s="234">
        <v>8</v>
      </c>
      <c r="K3" s="234">
        <v>9</v>
      </c>
      <c r="L3" s="234">
        <v>10</v>
      </c>
      <c r="M3" s="234">
        <v>11</v>
      </c>
      <c r="N3" s="235">
        <v>12</v>
      </c>
      <c r="O3" s="234">
        <v>13</v>
      </c>
      <c r="P3" s="234">
        <v>14</v>
      </c>
      <c r="Q3" s="234">
        <v>15</v>
      </c>
      <c r="R3" s="234">
        <v>16</v>
      </c>
      <c r="S3" s="234">
        <v>17</v>
      </c>
      <c r="T3" s="234">
        <v>18</v>
      </c>
      <c r="U3" s="235">
        <v>19</v>
      </c>
      <c r="V3" s="234">
        <v>20</v>
      </c>
      <c r="W3" s="234">
        <v>21</v>
      </c>
      <c r="X3" s="234">
        <v>22</v>
      </c>
      <c r="Y3" s="234">
        <v>23</v>
      </c>
      <c r="Z3" s="234">
        <v>24</v>
      </c>
      <c r="AA3" s="234">
        <v>25</v>
      </c>
      <c r="AB3" s="235">
        <v>26</v>
      </c>
      <c r="AC3" s="234">
        <v>27</v>
      </c>
      <c r="AD3" s="234">
        <v>28</v>
      </c>
      <c r="AE3" s="234">
        <v>29</v>
      </c>
      <c r="AF3" s="234">
        <v>30</v>
      </c>
      <c r="AG3" s="520">
        <v>31</v>
      </c>
      <c r="AH3" s="524" t="s">
        <v>121</v>
      </c>
      <c r="AI3" s="571"/>
      <c r="AJ3" s="569"/>
    </row>
    <row r="4" spans="1:39" s="241" customFormat="1" ht="21" customHeight="1">
      <c r="A4" s="559" t="s">
        <v>36</v>
      </c>
      <c r="B4" s="236">
        <v>1</v>
      </c>
      <c r="C4" s="503">
        <v>1</v>
      </c>
      <c r="D4" s="237">
        <v>1</v>
      </c>
      <c r="E4" s="521">
        <v>1</v>
      </c>
      <c r="F4" s="237"/>
      <c r="G4" s="238"/>
      <c r="H4" s="237">
        <v>1</v>
      </c>
      <c r="I4" s="237"/>
      <c r="J4" s="237">
        <v>1</v>
      </c>
      <c r="K4" s="237">
        <v>1</v>
      </c>
      <c r="L4" s="237">
        <v>1</v>
      </c>
      <c r="M4" s="237">
        <v>1</v>
      </c>
      <c r="N4" s="238"/>
      <c r="O4" s="237">
        <v>1</v>
      </c>
      <c r="P4" s="237">
        <v>1</v>
      </c>
      <c r="Q4" s="237">
        <v>1</v>
      </c>
      <c r="R4" s="237">
        <v>1</v>
      </c>
      <c r="S4" s="237">
        <v>1</v>
      </c>
      <c r="T4" s="237">
        <v>1</v>
      </c>
      <c r="U4" s="238"/>
      <c r="V4" s="237"/>
      <c r="W4" s="237">
        <v>1</v>
      </c>
      <c r="X4" s="237"/>
      <c r="Y4" s="237"/>
      <c r="Z4" s="237">
        <v>1</v>
      </c>
      <c r="AA4" s="538">
        <v>1</v>
      </c>
      <c r="AB4" s="539"/>
      <c r="AC4" s="540">
        <v>1</v>
      </c>
      <c r="AD4" s="540"/>
      <c r="AE4" s="540"/>
      <c r="AF4" s="540">
        <v>1</v>
      </c>
      <c r="AG4" s="540">
        <v>1</v>
      </c>
      <c r="AH4" s="270">
        <f>SUM(C4:AG4)</f>
        <v>20</v>
      </c>
      <c r="AI4" s="268">
        <v>33612.14</v>
      </c>
      <c r="AJ4" s="240">
        <f>AH4*AI4</f>
        <v>672242.8</v>
      </c>
    </row>
    <row r="5" spans="1:39" s="241" customFormat="1" ht="21" customHeight="1" thickBot="1">
      <c r="A5" s="560"/>
      <c r="B5" s="242">
        <v>2</v>
      </c>
      <c r="C5" s="504">
        <v>2</v>
      </c>
      <c r="D5" s="243">
        <v>1</v>
      </c>
      <c r="E5" s="243">
        <v>2</v>
      </c>
      <c r="F5" s="243"/>
      <c r="G5" s="244"/>
      <c r="H5" s="243">
        <v>1</v>
      </c>
      <c r="I5" s="243"/>
      <c r="J5" s="243">
        <v>1</v>
      </c>
      <c r="K5" s="243"/>
      <c r="L5" s="243">
        <v>2</v>
      </c>
      <c r="M5" s="243">
        <v>1</v>
      </c>
      <c r="N5" s="244"/>
      <c r="O5" s="243"/>
      <c r="P5" s="245"/>
      <c r="Q5" s="245">
        <v>1</v>
      </c>
      <c r="R5" s="245">
        <v>1</v>
      </c>
      <c r="S5" s="245">
        <v>2</v>
      </c>
      <c r="T5" s="245">
        <v>1</v>
      </c>
      <c r="U5" s="244"/>
      <c r="V5" s="243"/>
      <c r="W5" s="243"/>
      <c r="X5" s="243"/>
      <c r="Y5" s="243"/>
      <c r="Z5" s="243">
        <v>4</v>
      </c>
      <c r="AA5" s="541"/>
      <c r="AB5" s="542"/>
      <c r="AC5" s="541">
        <v>1</v>
      </c>
      <c r="AD5" s="541"/>
      <c r="AE5" s="541"/>
      <c r="AF5" s="541"/>
      <c r="AG5" s="541">
        <v>2</v>
      </c>
      <c r="AH5" s="243">
        <f>SUM(C5:AG5)</f>
        <v>22</v>
      </c>
      <c r="AI5" s="269">
        <v>44816.18</v>
      </c>
      <c r="AJ5" s="247">
        <f>AH5*AI5</f>
        <v>985955.96</v>
      </c>
    </row>
    <row r="6" spans="1:39" s="233" customFormat="1" ht="20.25" customHeight="1" thickBot="1">
      <c r="A6" s="248" t="s">
        <v>123</v>
      </c>
      <c r="B6" s="249"/>
      <c r="C6" s="250">
        <f>SUM(C4:C5)</f>
        <v>3</v>
      </c>
      <c r="D6" s="250">
        <f>SUM(D4:D5)</f>
        <v>2</v>
      </c>
      <c r="E6" s="250">
        <f t="shared" ref="E6:AG6" si="0">SUM(E4:E5)</f>
        <v>3</v>
      </c>
      <c r="F6" s="250">
        <f t="shared" si="0"/>
        <v>0</v>
      </c>
      <c r="G6" s="251">
        <f t="shared" si="0"/>
        <v>0</v>
      </c>
      <c r="H6" s="250">
        <f t="shared" si="0"/>
        <v>2</v>
      </c>
      <c r="I6" s="250">
        <f t="shared" si="0"/>
        <v>0</v>
      </c>
      <c r="J6" s="250">
        <f t="shared" si="0"/>
        <v>2</v>
      </c>
      <c r="K6" s="250">
        <f t="shared" si="0"/>
        <v>1</v>
      </c>
      <c r="L6" s="250">
        <f t="shared" si="0"/>
        <v>3</v>
      </c>
      <c r="M6" s="250">
        <f t="shared" si="0"/>
        <v>2</v>
      </c>
      <c r="N6" s="251">
        <f t="shared" si="0"/>
        <v>0</v>
      </c>
      <c r="O6" s="250">
        <f t="shared" si="0"/>
        <v>1</v>
      </c>
      <c r="P6" s="250">
        <f t="shared" si="0"/>
        <v>1</v>
      </c>
      <c r="Q6" s="250">
        <f t="shared" si="0"/>
        <v>2</v>
      </c>
      <c r="R6" s="250">
        <f t="shared" si="0"/>
        <v>2</v>
      </c>
      <c r="S6" s="250">
        <f t="shared" si="0"/>
        <v>3</v>
      </c>
      <c r="T6" s="250">
        <f t="shared" si="0"/>
        <v>2</v>
      </c>
      <c r="U6" s="251">
        <f t="shared" si="0"/>
        <v>0</v>
      </c>
      <c r="V6" s="250">
        <f t="shared" si="0"/>
        <v>0</v>
      </c>
      <c r="W6" s="250">
        <f t="shared" si="0"/>
        <v>1</v>
      </c>
      <c r="X6" s="250">
        <f t="shared" si="0"/>
        <v>0</v>
      </c>
      <c r="Y6" s="250">
        <f t="shared" si="0"/>
        <v>0</v>
      </c>
      <c r="Z6" s="250">
        <f t="shared" si="0"/>
        <v>5</v>
      </c>
      <c r="AA6" s="543">
        <f t="shared" si="0"/>
        <v>1</v>
      </c>
      <c r="AB6" s="544">
        <f t="shared" si="0"/>
        <v>0</v>
      </c>
      <c r="AC6" s="543">
        <f t="shared" si="0"/>
        <v>2</v>
      </c>
      <c r="AD6" s="543">
        <f t="shared" si="0"/>
        <v>0</v>
      </c>
      <c r="AE6" s="543">
        <f t="shared" si="0"/>
        <v>0</v>
      </c>
      <c r="AF6" s="543">
        <f t="shared" si="0"/>
        <v>1</v>
      </c>
      <c r="AG6" s="543">
        <f t="shared" si="0"/>
        <v>3</v>
      </c>
      <c r="AH6" s="250">
        <f>SUM(AH4:AH5)</f>
        <v>42</v>
      </c>
      <c r="AI6" s="252"/>
      <c r="AJ6" s="253">
        <f>SUM(AJ4:AJ5)</f>
        <v>1658198.76</v>
      </c>
      <c r="AK6" s="233">
        <v>1914691</v>
      </c>
      <c r="AL6" s="233">
        <f>AJ6-AK6</f>
        <v>-256492.24</v>
      </c>
    </row>
    <row r="7" spans="1:39" s="241" customFormat="1" ht="21" customHeight="1">
      <c r="A7" s="559" t="s">
        <v>37</v>
      </c>
      <c r="B7" s="242">
        <v>1</v>
      </c>
      <c r="C7" s="503">
        <v>1</v>
      </c>
      <c r="D7" s="237">
        <v>1</v>
      </c>
      <c r="E7" s="521"/>
      <c r="F7" s="237"/>
      <c r="G7" s="238"/>
      <c r="H7" s="237">
        <v>1</v>
      </c>
      <c r="I7" s="237"/>
      <c r="J7" s="237">
        <v>1</v>
      </c>
      <c r="K7" s="237">
        <v>1</v>
      </c>
      <c r="L7" s="237">
        <v>1</v>
      </c>
      <c r="M7" s="237">
        <v>1</v>
      </c>
      <c r="N7" s="238"/>
      <c r="O7" s="237">
        <v>1</v>
      </c>
      <c r="P7" s="237">
        <v>1</v>
      </c>
      <c r="Q7" s="237"/>
      <c r="R7" s="237"/>
      <c r="S7" s="237">
        <v>1</v>
      </c>
      <c r="T7" s="237">
        <v>1</v>
      </c>
      <c r="U7" s="238"/>
      <c r="V7" s="237">
        <v>1</v>
      </c>
      <c r="W7" s="237">
        <v>1</v>
      </c>
      <c r="X7" s="237"/>
      <c r="Y7" s="237">
        <v>1</v>
      </c>
      <c r="Z7" s="237">
        <v>1</v>
      </c>
      <c r="AA7" s="538">
        <v>1</v>
      </c>
      <c r="AB7" s="539"/>
      <c r="AC7" s="540">
        <v>1</v>
      </c>
      <c r="AD7" s="540"/>
      <c r="AE7" s="540">
        <v>1</v>
      </c>
      <c r="AF7" s="540">
        <v>1</v>
      </c>
      <c r="AG7" s="540">
        <v>1</v>
      </c>
      <c r="AH7" s="237">
        <f>SUM(C7:AG7)</f>
        <v>20</v>
      </c>
      <c r="AI7" s="239">
        <v>33612.14</v>
      </c>
      <c r="AJ7" s="240">
        <f>AH7*AI7</f>
        <v>672242.8</v>
      </c>
    </row>
    <row r="8" spans="1:39" s="241" customFormat="1" ht="21" customHeight="1" thickBot="1">
      <c r="A8" s="560"/>
      <c r="B8" s="242">
        <v>2</v>
      </c>
      <c r="C8" s="504">
        <v>2</v>
      </c>
      <c r="D8" s="243">
        <v>1</v>
      </c>
      <c r="E8" s="243"/>
      <c r="F8" s="243"/>
      <c r="G8" s="244"/>
      <c r="H8" s="243">
        <v>1</v>
      </c>
      <c r="I8" s="243"/>
      <c r="J8" s="243">
        <v>1</v>
      </c>
      <c r="K8" s="243">
        <v>1</v>
      </c>
      <c r="L8" s="243">
        <v>3</v>
      </c>
      <c r="M8" s="243">
        <v>1</v>
      </c>
      <c r="N8" s="244"/>
      <c r="O8" s="243"/>
      <c r="P8" s="245">
        <v>1</v>
      </c>
      <c r="Q8" s="245"/>
      <c r="R8" s="245"/>
      <c r="S8" s="245">
        <v>2</v>
      </c>
      <c r="T8" s="245">
        <v>1</v>
      </c>
      <c r="U8" s="244"/>
      <c r="V8" s="243">
        <v>1</v>
      </c>
      <c r="W8" s="243">
        <v>1</v>
      </c>
      <c r="X8" s="243"/>
      <c r="Y8" s="243">
        <v>1</v>
      </c>
      <c r="Z8" s="243">
        <v>3</v>
      </c>
      <c r="AA8" s="541"/>
      <c r="AB8" s="542"/>
      <c r="AC8" s="541">
        <v>1</v>
      </c>
      <c r="AD8" s="541"/>
      <c r="AE8" s="541">
        <v>1</v>
      </c>
      <c r="AF8" s="541">
        <v>1</v>
      </c>
      <c r="AG8" s="541">
        <v>2</v>
      </c>
      <c r="AH8" s="243">
        <f>SUM(C8:AG8)</f>
        <v>25</v>
      </c>
      <c r="AI8" s="246">
        <v>44816.18</v>
      </c>
      <c r="AJ8" s="247">
        <f>AH8*AI8</f>
        <v>1120404.5</v>
      </c>
    </row>
    <row r="9" spans="1:39" s="233" customFormat="1" ht="21" customHeight="1" thickBot="1">
      <c r="A9" s="248" t="s">
        <v>123</v>
      </c>
      <c r="B9" s="249"/>
      <c r="C9" s="505">
        <f t="shared" ref="C9:AG9" si="1">SUM(C7:C8)</f>
        <v>3</v>
      </c>
      <c r="D9" s="250">
        <f t="shared" si="1"/>
        <v>2</v>
      </c>
      <c r="E9" s="250">
        <f t="shared" si="1"/>
        <v>0</v>
      </c>
      <c r="F9" s="250">
        <f t="shared" si="1"/>
        <v>0</v>
      </c>
      <c r="G9" s="251">
        <f t="shared" si="1"/>
        <v>0</v>
      </c>
      <c r="H9" s="250">
        <f t="shared" si="1"/>
        <v>2</v>
      </c>
      <c r="I9" s="250">
        <f t="shared" si="1"/>
        <v>0</v>
      </c>
      <c r="J9" s="250">
        <f t="shared" si="1"/>
        <v>2</v>
      </c>
      <c r="K9" s="250">
        <f t="shared" si="1"/>
        <v>2</v>
      </c>
      <c r="L9" s="250">
        <f t="shared" si="1"/>
        <v>4</v>
      </c>
      <c r="M9" s="250">
        <f t="shared" si="1"/>
        <v>2</v>
      </c>
      <c r="N9" s="251">
        <f t="shared" si="1"/>
        <v>0</v>
      </c>
      <c r="O9" s="250">
        <f t="shared" si="1"/>
        <v>1</v>
      </c>
      <c r="P9" s="250">
        <f t="shared" si="1"/>
        <v>2</v>
      </c>
      <c r="Q9" s="250">
        <f t="shared" si="1"/>
        <v>0</v>
      </c>
      <c r="R9" s="250">
        <f t="shared" si="1"/>
        <v>0</v>
      </c>
      <c r="S9" s="250">
        <f t="shared" si="1"/>
        <v>3</v>
      </c>
      <c r="T9" s="250">
        <f t="shared" si="1"/>
        <v>2</v>
      </c>
      <c r="U9" s="251">
        <f t="shared" si="1"/>
        <v>0</v>
      </c>
      <c r="V9" s="250">
        <f t="shared" si="1"/>
        <v>2</v>
      </c>
      <c r="W9" s="250">
        <f t="shared" si="1"/>
        <v>2</v>
      </c>
      <c r="X9" s="250">
        <f t="shared" si="1"/>
        <v>0</v>
      </c>
      <c r="Y9" s="250">
        <f t="shared" si="1"/>
        <v>2</v>
      </c>
      <c r="Z9" s="250">
        <f t="shared" si="1"/>
        <v>4</v>
      </c>
      <c r="AA9" s="543">
        <f t="shared" si="1"/>
        <v>1</v>
      </c>
      <c r="AB9" s="544">
        <f t="shared" si="1"/>
        <v>0</v>
      </c>
      <c r="AC9" s="543">
        <f t="shared" si="1"/>
        <v>2</v>
      </c>
      <c r="AD9" s="543">
        <f t="shared" si="1"/>
        <v>0</v>
      </c>
      <c r="AE9" s="543">
        <f t="shared" si="1"/>
        <v>2</v>
      </c>
      <c r="AF9" s="543">
        <f t="shared" si="1"/>
        <v>2</v>
      </c>
      <c r="AG9" s="543">
        <f t="shared" si="1"/>
        <v>3</v>
      </c>
      <c r="AH9" s="250">
        <f>SUM(AH7:AH8)</f>
        <v>45</v>
      </c>
      <c r="AI9" s="252"/>
      <c r="AJ9" s="253">
        <f>SUM(AJ7:AJ8)</f>
        <v>1792647.3</v>
      </c>
    </row>
    <row r="10" spans="1:39" s="241" customFormat="1" ht="21" customHeight="1">
      <c r="A10" s="559" t="s">
        <v>38</v>
      </c>
      <c r="B10" s="242">
        <v>1</v>
      </c>
      <c r="C10" s="503">
        <v>1</v>
      </c>
      <c r="D10" s="237">
        <v>1</v>
      </c>
      <c r="E10" s="521"/>
      <c r="F10" s="237"/>
      <c r="G10" s="238"/>
      <c r="H10" s="237">
        <v>1</v>
      </c>
      <c r="I10" s="237"/>
      <c r="J10" s="237">
        <v>1</v>
      </c>
      <c r="K10" s="237">
        <v>1</v>
      </c>
      <c r="L10" s="237">
        <v>1</v>
      </c>
      <c r="M10" s="237"/>
      <c r="N10" s="238"/>
      <c r="O10" s="237"/>
      <c r="P10" s="237"/>
      <c r="Q10" s="237">
        <v>1</v>
      </c>
      <c r="R10" s="237">
        <v>1</v>
      </c>
      <c r="S10" s="237">
        <v>1</v>
      </c>
      <c r="T10" s="237">
        <v>1</v>
      </c>
      <c r="U10" s="238"/>
      <c r="V10" s="237">
        <v>1</v>
      </c>
      <c r="W10" s="237">
        <v>1</v>
      </c>
      <c r="X10" s="237"/>
      <c r="Y10" s="237">
        <v>1</v>
      </c>
      <c r="Z10" s="237">
        <v>1</v>
      </c>
      <c r="AA10" s="538">
        <v>1</v>
      </c>
      <c r="AB10" s="539"/>
      <c r="AC10" s="540"/>
      <c r="AD10" s="540"/>
      <c r="AE10" s="540"/>
      <c r="AF10" s="540"/>
      <c r="AG10" s="540"/>
      <c r="AH10" s="237">
        <f>SUM(C10:AG10)</f>
        <v>15</v>
      </c>
      <c r="AI10" s="239">
        <v>33612.14</v>
      </c>
      <c r="AJ10" s="240">
        <f>AH10*AI10</f>
        <v>504182.1</v>
      </c>
    </row>
    <row r="11" spans="1:39" s="241" customFormat="1" ht="21" customHeight="1" thickBot="1">
      <c r="A11" s="560"/>
      <c r="B11" s="242">
        <v>2</v>
      </c>
      <c r="C11" s="504">
        <v>2</v>
      </c>
      <c r="D11" s="243">
        <v>1</v>
      </c>
      <c r="E11" s="243"/>
      <c r="F11" s="243"/>
      <c r="G11" s="244"/>
      <c r="H11" s="243"/>
      <c r="I11" s="243"/>
      <c r="J11" s="243">
        <v>1</v>
      </c>
      <c r="K11" s="243">
        <v>1</v>
      </c>
      <c r="L11" s="243">
        <v>2</v>
      </c>
      <c r="M11" s="243"/>
      <c r="N11" s="244"/>
      <c r="O11" s="243"/>
      <c r="P11" s="245"/>
      <c r="Q11" s="245"/>
      <c r="R11" s="245">
        <v>1</v>
      </c>
      <c r="S11" s="245">
        <v>2</v>
      </c>
      <c r="T11" s="245">
        <v>1</v>
      </c>
      <c r="U11" s="244"/>
      <c r="V11" s="243"/>
      <c r="W11" s="243"/>
      <c r="X11" s="243"/>
      <c r="Y11" s="243">
        <v>1</v>
      </c>
      <c r="Z11" s="243">
        <v>4</v>
      </c>
      <c r="AA11" s="541">
        <v>2</v>
      </c>
      <c r="AB11" s="542"/>
      <c r="AC11" s="541"/>
      <c r="AD11" s="541"/>
      <c r="AE11" s="541"/>
      <c r="AF11" s="541"/>
      <c r="AG11" s="541"/>
      <c r="AH11" s="243">
        <f>SUM(C11:AG11)</f>
        <v>18</v>
      </c>
      <c r="AI11" s="246">
        <v>44816.18</v>
      </c>
      <c r="AJ11" s="247">
        <f>AH11*AI11</f>
        <v>806691.24</v>
      </c>
    </row>
    <row r="12" spans="1:39" s="233" customFormat="1" ht="21" customHeight="1" thickBot="1">
      <c r="A12" s="248" t="s">
        <v>123</v>
      </c>
      <c r="B12" s="249"/>
      <c r="C12" s="505">
        <f t="shared" ref="C12:AH12" si="2">SUM(C10:C11)</f>
        <v>3</v>
      </c>
      <c r="D12" s="250">
        <f t="shared" si="2"/>
        <v>2</v>
      </c>
      <c r="E12" s="250">
        <f t="shared" si="2"/>
        <v>0</v>
      </c>
      <c r="F12" s="250">
        <f t="shared" si="2"/>
        <v>0</v>
      </c>
      <c r="G12" s="251">
        <f t="shared" si="2"/>
        <v>0</v>
      </c>
      <c r="H12" s="250">
        <f t="shared" si="2"/>
        <v>1</v>
      </c>
      <c r="I12" s="250">
        <f t="shared" si="2"/>
        <v>0</v>
      </c>
      <c r="J12" s="250">
        <f t="shared" si="2"/>
        <v>2</v>
      </c>
      <c r="K12" s="250">
        <f t="shared" si="2"/>
        <v>2</v>
      </c>
      <c r="L12" s="250">
        <f t="shared" si="2"/>
        <v>3</v>
      </c>
      <c r="M12" s="250">
        <f t="shared" si="2"/>
        <v>0</v>
      </c>
      <c r="N12" s="251">
        <f t="shared" si="2"/>
        <v>0</v>
      </c>
      <c r="O12" s="250">
        <f t="shared" si="2"/>
        <v>0</v>
      </c>
      <c r="P12" s="250">
        <f t="shared" si="2"/>
        <v>0</v>
      </c>
      <c r="Q12" s="250">
        <f t="shared" si="2"/>
        <v>1</v>
      </c>
      <c r="R12" s="250">
        <f t="shared" si="2"/>
        <v>2</v>
      </c>
      <c r="S12" s="250">
        <f t="shared" si="2"/>
        <v>3</v>
      </c>
      <c r="T12" s="250">
        <f t="shared" si="2"/>
        <v>2</v>
      </c>
      <c r="U12" s="251">
        <f t="shared" si="2"/>
        <v>0</v>
      </c>
      <c r="V12" s="250">
        <f t="shared" si="2"/>
        <v>1</v>
      </c>
      <c r="W12" s="250">
        <f t="shared" si="2"/>
        <v>1</v>
      </c>
      <c r="X12" s="250">
        <f t="shared" si="2"/>
        <v>0</v>
      </c>
      <c r="Y12" s="250">
        <f t="shared" si="2"/>
        <v>2</v>
      </c>
      <c r="Z12" s="250">
        <f t="shared" si="2"/>
        <v>5</v>
      </c>
      <c r="AA12" s="543">
        <f t="shared" si="2"/>
        <v>3</v>
      </c>
      <c r="AB12" s="544">
        <f t="shared" si="2"/>
        <v>0</v>
      </c>
      <c r="AC12" s="543">
        <f t="shared" si="2"/>
        <v>0</v>
      </c>
      <c r="AD12" s="543">
        <f t="shared" si="2"/>
        <v>0</v>
      </c>
      <c r="AE12" s="543">
        <f t="shared" si="2"/>
        <v>0</v>
      </c>
      <c r="AF12" s="543">
        <f t="shared" si="2"/>
        <v>0</v>
      </c>
      <c r="AG12" s="543">
        <f t="shared" si="2"/>
        <v>0</v>
      </c>
      <c r="AH12" s="250">
        <f t="shared" si="2"/>
        <v>33</v>
      </c>
      <c r="AI12" s="252"/>
      <c r="AJ12" s="253">
        <f>SUM(AJ10:AJ11)</f>
        <v>1310873.3399999999</v>
      </c>
      <c r="AM12" s="233">
        <f>14-16</f>
        <v>-2</v>
      </c>
    </row>
    <row r="13" spans="1:39" s="241" customFormat="1" ht="21" customHeight="1">
      <c r="A13" s="559" t="s">
        <v>119</v>
      </c>
      <c r="B13" s="242">
        <v>1</v>
      </c>
      <c r="C13" s="503">
        <v>1</v>
      </c>
      <c r="D13" s="237"/>
      <c r="E13" s="521"/>
      <c r="F13" s="237"/>
      <c r="G13" s="238"/>
      <c r="H13" s="237">
        <v>1</v>
      </c>
      <c r="I13" s="237"/>
      <c r="J13" s="237"/>
      <c r="K13" s="237">
        <v>1</v>
      </c>
      <c r="L13" s="237">
        <v>1</v>
      </c>
      <c r="M13" s="237">
        <v>1</v>
      </c>
      <c r="N13" s="238"/>
      <c r="O13" s="237"/>
      <c r="P13" s="237"/>
      <c r="Q13" s="237">
        <v>1</v>
      </c>
      <c r="R13" s="237"/>
      <c r="S13" s="237">
        <v>1</v>
      </c>
      <c r="T13" s="237"/>
      <c r="U13" s="238"/>
      <c r="V13" s="237">
        <v>1</v>
      </c>
      <c r="W13" s="237"/>
      <c r="X13" s="237"/>
      <c r="Y13" s="237">
        <v>1</v>
      </c>
      <c r="Z13" s="237">
        <v>1</v>
      </c>
      <c r="AA13" s="538">
        <v>1</v>
      </c>
      <c r="AB13" s="539"/>
      <c r="AC13" s="540">
        <v>1</v>
      </c>
      <c r="AD13" s="540">
        <v>1</v>
      </c>
      <c r="AE13" s="540">
        <v>1</v>
      </c>
      <c r="AF13" s="540"/>
      <c r="AG13" s="540">
        <v>1</v>
      </c>
      <c r="AH13" s="237">
        <f>SUM(C13:AG13)</f>
        <v>15</v>
      </c>
      <c r="AI13" s="239">
        <v>33612.14</v>
      </c>
      <c r="AJ13" s="240">
        <f>AH13*AI13</f>
        <v>504182.1</v>
      </c>
      <c r="AM13" s="241">
        <f>14-17</f>
        <v>-3</v>
      </c>
    </row>
    <row r="14" spans="1:39" s="241" customFormat="1" ht="21" customHeight="1" thickBot="1">
      <c r="A14" s="560"/>
      <c r="B14" s="242">
        <v>2</v>
      </c>
      <c r="C14" s="504">
        <v>2</v>
      </c>
      <c r="D14" s="243"/>
      <c r="E14" s="243"/>
      <c r="F14" s="243"/>
      <c r="G14" s="244"/>
      <c r="H14" s="243"/>
      <c r="I14" s="243"/>
      <c r="J14" s="243"/>
      <c r="K14" s="243">
        <v>1</v>
      </c>
      <c r="L14" s="243">
        <v>2</v>
      </c>
      <c r="M14" s="243">
        <v>1</v>
      </c>
      <c r="N14" s="244"/>
      <c r="O14" s="243"/>
      <c r="P14" s="245"/>
      <c r="Q14" s="245">
        <v>1</v>
      </c>
      <c r="R14" s="245"/>
      <c r="S14" s="245">
        <v>2</v>
      </c>
      <c r="T14" s="245"/>
      <c r="U14" s="244"/>
      <c r="V14" s="243">
        <v>2</v>
      </c>
      <c r="W14" s="243"/>
      <c r="X14" s="243"/>
      <c r="Y14" s="243">
        <v>1</v>
      </c>
      <c r="Z14" s="243">
        <v>3</v>
      </c>
      <c r="AA14" s="541">
        <v>2</v>
      </c>
      <c r="AB14" s="542"/>
      <c r="AC14" s="541">
        <v>1</v>
      </c>
      <c r="AD14" s="541">
        <v>1</v>
      </c>
      <c r="AE14" s="541">
        <v>1</v>
      </c>
      <c r="AF14" s="541"/>
      <c r="AG14" s="541">
        <v>1</v>
      </c>
      <c r="AH14" s="243">
        <f>SUM(C14:AG14)</f>
        <v>21</v>
      </c>
      <c r="AI14" s="246">
        <v>44816.18</v>
      </c>
      <c r="AJ14" s="247">
        <f>AH14*AI14</f>
        <v>941139.78</v>
      </c>
      <c r="AM14" s="241">
        <f>14-18</f>
        <v>-4</v>
      </c>
    </row>
    <row r="15" spans="1:39" s="233" customFormat="1" ht="21" customHeight="1" thickBot="1">
      <c r="A15" s="248" t="s">
        <v>123</v>
      </c>
      <c r="B15" s="249"/>
      <c r="C15" s="248">
        <f t="shared" ref="C15:AH15" si="3">SUM(C13:C14)</f>
        <v>3</v>
      </c>
      <c r="D15" s="250">
        <f t="shared" si="3"/>
        <v>0</v>
      </c>
      <c r="E15" s="250">
        <f t="shared" si="3"/>
        <v>0</v>
      </c>
      <c r="F15" s="254">
        <f t="shared" si="3"/>
        <v>0</v>
      </c>
      <c r="G15" s="522">
        <f t="shared" si="3"/>
        <v>0</v>
      </c>
      <c r="H15" s="250">
        <f t="shared" si="3"/>
        <v>1</v>
      </c>
      <c r="I15" s="250">
        <f t="shared" si="3"/>
        <v>0</v>
      </c>
      <c r="J15" s="250">
        <f t="shared" si="3"/>
        <v>0</v>
      </c>
      <c r="K15" s="250">
        <f t="shared" si="3"/>
        <v>2</v>
      </c>
      <c r="L15" s="250">
        <f t="shared" si="3"/>
        <v>3</v>
      </c>
      <c r="M15" s="250">
        <f t="shared" si="3"/>
        <v>2</v>
      </c>
      <c r="N15" s="251">
        <f t="shared" si="3"/>
        <v>0</v>
      </c>
      <c r="O15" s="250">
        <f t="shared" si="3"/>
        <v>0</v>
      </c>
      <c r="P15" s="250">
        <f t="shared" si="3"/>
        <v>0</v>
      </c>
      <c r="Q15" s="250">
        <f t="shared" si="3"/>
        <v>2</v>
      </c>
      <c r="R15" s="250">
        <f t="shared" si="3"/>
        <v>0</v>
      </c>
      <c r="S15" s="250">
        <f t="shared" si="3"/>
        <v>3</v>
      </c>
      <c r="T15" s="250">
        <f t="shared" si="3"/>
        <v>0</v>
      </c>
      <c r="U15" s="251">
        <f t="shared" si="3"/>
        <v>0</v>
      </c>
      <c r="V15" s="250">
        <f t="shared" si="3"/>
        <v>3</v>
      </c>
      <c r="W15" s="250">
        <f t="shared" si="3"/>
        <v>0</v>
      </c>
      <c r="X15" s="250">
        <f t="shared" si="3"/>
        <v>0</v>
      </c>
      <c r="Y15" s="250">
        <f t="shared" si="3"/>
        <v>2</v>
      </c>
      <c r="Z15" s="250">
        <f t="shared" si="3"/>
        <v>4</v>
      </c>
      <c r="AA15" s="543">
        <f t="shared" si="3"/>
        <v>3</v>
      </c>
      <c r="AB15" s="544">
        <f t="shared" si="3"/>
        <v>0</v>
      </c>
      <c r="AC15" s="543">
        <f t="shared" si="3"/>
        <v>2</v>
      </c>
      <c r="AD15" s="543">
        <f t="shared" si="3"/>
        <v>2</v>
      </c>
      <c r="AE15" s="543">
        <f t="shared" si="3"/>
        <v>2</v>
      </c>
      <c r="AF15" s="543">
        <f t="shared" si="3"/>
        <v>0</v>
      </c>
      <c r="AG15" s="543">
        <f t="shared" si="3"/>
        <v>2</v>
      </c>
      <c r="AH15" s="250">
        <f t="shared" si="3"/>
        <v>36</v>
      </c>
      <c r="AI15" s="252"/>
      <c r="AJ15" s="253">
        <f>SUM(AJ13:AJ14)</f>
        <v>1445321.88</v>
      </c>
      <c r="AK15" s="233">
        <v>300000</v>
      </c>
      <c r="AL15" s="233">
        <f>AJ15-AK15</f>
        <v>1145321.8799999999</v>
      </c>
    </row>
    <row r="16" spans="1:39" s="241" customFormat="1" ht="21" customHeight="1">
      <c r="A16" s="559" t="s">
        <v>129</v>
      </c>
      <c r="B16" s="242">
        <v>1</v>
      </c>
      <c r="C16" s="503">
        <v>1</v>
      </c>
      <c r="D16" s="237">
        <v>1</v>
      </c>
      <c r="E16" s="521"/>
      <c r="F16" s="237"/>
      <c r="G16" s="238"/>
      <c r="H16" s="237">
        <v>1</v>
      </c>
      <c r="I16" s="237">
        <v>1</v>
      </c>
      <c r="J16" s="237">
        <v>1</v>
      </c>
      <c r="K16" s="237">
        <v>1</v>
      </c>
      <c r="L16" s="237">
        <v>1</v>
      </c>
      <c r="M16" s="237">
        <v>1</v>
      </c>
      <c r="N16" s="238"/>
      <c r="O16" s="237">
        <v>1</v>
      </c>
      <c r="P16" s="237">
        <v>1</v>
      </c>
      <c r="Q16" s="237">
        <v>1</v>
      </c>
      <c r="R16" s="237">
        <v>1</v>
      </c>
      <c r="S16" s="237">
        <v>1</v>
      </c>
      <c r="T16" s="237">
        <v>1</v>
      </c>
      <c r="U16" s="238"/>
      <c r="V16" s="237">
        <v>1</v>
      </c>
      <c r="W16" s="237">
        <v>1</v>
      </c>
      <c r="X16" s="237">
        <v>1</v>
      </c>
      <c r="Y16" s="237">
        <v>1</v>
      </c>
      <c r="Z16" s="237">
        <v>1</v>
      </c>
      <c r="AA16" s="538">
        <v>1</v>
      </c>
      <c r="AB16" s="539"/>
      <c r="AC16" s="540"/>
      <c r="AD16" s="540">
        <v>1</v>
      </c>
      <c r="AE16" s="540">
        <v>1</v>
      </c>
      <c r="AF16" s="540">
        <v>1</v>
      </c>
      <c r="AG16" s="540">
        <v>1</v>
      </c>
      <c r="AH16" s="237">
        <f>SUM(C16:AG16)</f>
        <v>24</v>
      </c>
      <c r="AI16" s="239">
        <v>33612.14</v>
      </c>
      <c r="AJ16" s="240">
        <f>AH16*AI16</f>
        <v>806691.36</v>
      </c>
    </row>
    <row r="17" spans="1:38" s="241" customFormat="1" ht="21" customHeight="1" thickBot="1">
      <c r="A17" s="560"/>
      <c r="B17" s="242">
        <v>2</v>
      </c>
      <c r="C17" s="504">
        <v>2</v>
      </c>
      <c r="D17" s="243">
        <v>1</v>
      </c>
      <c r="E17" s="243"/>
      <c r="F17" s="243"/>
      <c r="G17" s="244"/>
      <c r="H17" s="243"/>
      <c r="I17" s="243">
        <v>1</v>
      </c>
      <c r="J17" s="243">
        <v>1</v>
      </c>
      <c r="K17" s="243">
        <v>2</v>
      </c>
      <c r="L17" s="243">
        <v>2</v>
      </c>
      <c r="M17" s="243">
        <v>1</v>
      </c>
      <c r="N17" s="244"/>
      <c r="O17" s="243"/>
      <c r="P17" s="245">
        <v>2</v>
      </c>
      <c r="Q17" s="245">
        <v>1</v>
      </c>
      <c r="R17" s="245">
        <v>1</v>
      </c>
      <c r="S17" s="245">
        <v>2</v>
      </c>
      <c r="T17" s="245">
        <v>1</v>
      </c>
      <c r="U17" s="244"/>
      <c r="V17" s="243">
        <v>1</v>
      </c>
      <c r="W17" s="243">
        <v>2</v>
      </c>
      <c r="X17" s="243"/>
      <c r="Y17" s="243">
        <v>1</v>
      </c>
      <c r="Z17" s="243">
        <v>4</v>
      </c>
      <c r="AA17" s="541"/>
      <c r="AB17" s="542"/>
      <c r="AC17" s="541"/>
      <c r="AD17" s="541">
        <v>1</v>
      </c>
      <c r="AE17" s="541">
        <v>1</v>
      </c>
      <c r="AF17" s="541">
        <v>1</v>
      </c>
      <c r="AG17" s="541">
        <v>2</v>
      </c>
      <c r="AH17" s="243">
        <f>SUM(C17:AG17)</f>
        <v>30</v>
      </c>
      <c r="AI17" s="246">
        <v>44816.18</v>
      </c>
      <c r="AJ17" s="247">
        <f>AH17*AI17</f>
        <v>1344485.4</v>
      </c>
    </row>
    <row r="18" spans="1:38" s="233" customFormat="1" ht="21" customHeight="1" thickBot="1">
      <c r="A18" s="248" t="s">
        <v>123</v>
      </c>
      <c r="B18" s="249"/>
      <c r="C18" s="505">
        <f t="shared" ref="C18:AH18" si="4">SUM(C16:C17)</f>
        <v>3</v>
      </c>
      <c r="D18" s="250">
        <f t="shared" si="4"/>
        <v>2</v>
      </c>
      <c r="E18" s="250">
        <f t="shared" si="4"/>
        <v>0</v>
      </c>
      <c r="F18" s="250">
        <f t="shared" si="4"/>
        <v>0</v>
      </c>
      <c r="G18" s="251">
        <f t="shared" si="4"/>
        <v>0</v>
      </c>
      <c r="H18" s="250">
        <f t="shared" si="4"/>
        <v>1</v>
      </c>
      <c r="I18" s="250">
        <f t="shared" si="4"/>
        <v>2</v>
      </c>
      <c r="J18" s="250">
        <f t="shared" si="4"/>
        <v>2</v>
      </c>
      <c r="K18" s="250">
        <f t="shared" si="4"/>
        <v>3</v>
      </c>
      <c r="L18" s="250">
        <f t="shared" si="4"/>
        <v>3</v>
      </c>
      <c r="M18" s="250">
        <f t="shared" si="4"/>
        <v>2</v>
      </c>
      <c r="N18" s="251">
        <f t="shared" si="4"/>
        <v>0</v>
      </c>
      <c r="O18" s="250">
        <f t="shared" si="4"/>
        <v>1</v>
      </c>
      <c r="P18" s="250">
        <f t="shared" si="4"/>
        <v>3</v>
      </c>
      <c r="Q18" s="250">
        <f t="shared" si="4"/>
        <v>2</v>
      </c>
      <c r="R18" s="250">
        <f t="shared" si="4"/>
        <v>2</v>
      </c>
      <c r="S18" s="250">
        <f t="shared" si="4"/>
        <v>3</v>
      </c>
      <c r="T18" s="250">
        <f t="shared" si="4"/>
        <v>2</v>
      </c>
      <c r="U18" s="251">
        <f t="shared" si="4"/>
        <v>0</v>
      </c>
      <c r="V18" s="250">
        <f t="shared" si="4"/>
        <v>2</v>
      </c>
      <c r="W18" s="250">
        <f t="shared" si="4"/>
        <v>3</v>
      </c>
      <c r="X18" s="250">
        <f t="shared" si="4"/>
        <v>1</v>
      </c>
      <c r="Y18" s="250">
        <f t="shared" si="4"/>
        <v>2</v>
      </c>
      <c r="Z18" s="250">
        <f t="shared" si="4"/>
        <v>5</v>
      </c>
      <c r="AA18" s="250">
        <f t="shared" si="4"/>
        <v>1</v>
      </c>
      <c r="AB18" s="251">
        <f t="shared" si="4"/>
        <v>0</v>
      </c>
      <c r="AC18" s="250">
        <f t="shared" si="4"/>
        <v>0</v>
      </c>
      <c r="AD18" s="250">
        <f t="shared" si="4"/>
        <v>2</v>
      </c>
      <c r="AE18" s="250">
        <f t="shared" si="4"/>
        <v>2</v>
      </c>
      <c r="AF18" s="250">
        <f t="shared" si="4"/>
        <v>2</v>
      </c>
      <c r="AG18" s="250">
        <f t="shared" si="4"/>
        <v>3</v>
      </c>
      <c r="AH18" s="250">
        <f t="shared" si="4"/>
        <v>54</v>
      </c>
      <c r="AI18" s="252"/>
      <c r="AJ18" s="255">
        <f>SUM(AJ16:AJ17)</f>
        <v>2151176.7599999998</v>
      </c>
    </row>
    <row r="19" spans="1:38" s="233" customFormat="1" ht="21" customHeight="1" thickBot="1">
      <c r="A19" s="248"/>
      <c r="B19" s="249"/>
      <c r="C19" s="256"/>
      <c r="D19" s="256"/>
      <c r="E19" s="256"/>
      <c r="F19" s="256"/>
      <c r="G19" s="257"/>
      <c r="H19" s="256"/>
      <c r="I19" s="256"/>
      <c r="J19" s="256"/>
      <c r="K19" s="256"/>
      <c r="L19" s="256"/>
      <c r="M19" s="256"/>
      <c r="N19" s="257"/>
      <c r="O19" s="256"/>
      <c r="P19" s="256"/>
      <c r="Q19" s="256"/>
      <c r="R19" s="256"/>
      <c r="S19" s="256"/>
      <c r="T19" s="256"/>
      <c r="U19" s="257"/>
      <c r="V19" s="256"/>
      <c r="W19" s="256"/>
      <c r="X19" s="256"/>
      <c r="Y19" s="256"/>
      <c r="Z19" s="256"/>
      <c r="AA19" s="256"/>
      <c r="AB19" s="257"/>
      <c r="AC19" s="256"/>
      <c r="AD19" s="256"/>
      <c r="AE19" s="256"/>
      <c r="AF19" s="256"/>
      <c r="AG19" s="256"/>
      <c r="AH19" s="256"/>
      <c r="AI19" s="258"/>
      <c r="AJ19" s="253"/>
    </row>
    <row r="20" spans="1:38" s="233" customFormat="1" ht="24" customHeight="1" thickBot="1">
      <c r="A20" s="248" t="s">
        <v>124</v>
      </c>
      <c r="B20" s="249"/>
      <c r="C20" s="505">
        <f>C6+C9+C12+C15+C18</f>
        <v>15</v>
      </c>
      <c r="D20" s="250">
        <f t="shared" ref="D20:AJ20" si="5">D6+D9+D12+D15+D18</f>
        <v>8</v>
      </c>
      <c r="E20" s="250">
        <f t="shared" si="5"/>
        <v>3</v>
      </c>
      <c r="F20" s="250">
        <f t="shared" si="5"/>
        <v>0</v>
      </c>
      <c r="G20" s="251">
        <f t="shared" si="5"/>
        <v>0</v>
      </c>
      <c r="H20" s="250">
        <f t="shared" si="5"/>
        <v>7</v>
      </c>
      <c r="I20" s="250">
        <f t="shared" si="5"/>
        <v>2</v>
      </c>
      <c r="J20" s="250">
        <f t="shared" si="5"/>
        <v>8</v>
      </c>
      <c r="K20" s="250">
        <f t="shared" si="5"/>
        <v>10</v>
      </c>
      <c r="L20" s="250">
        <f t="shared" si="5"/>
        <v>16</v>
      </c>
      <c r="M20" s="250">
        <f t="shared" si="5"/>
        <v>8</v>
      </c>
      <c r="N20" s="251">
        <f t="shared" si="5"/>
        <v>0</v>
      </c>
      <c r="O20" s="250">
        <f t="shared" si="5"/>
        <v>3</v>
      </c>
      <c r="P20" s="250">
        <f t="shared" si="5"/>
        <v>6</v>
      </c>
      <c r="Q20" s="250">
        <f t="shared" si="5"/>
        <v>7</v>
      </c>
      <c r="R20" s="250">
        <f t="shared" si="5"/>
        <v>6</v>
      </c>
      <c r="S20" s="250">
        <f t="shared" si="5"/>
        <v>15</v>
      </c>
      <c r="T20" s="250">
        <f t="shared" si="5"/>
        <v>8</v>
      </c>
      <c r="U20" s="251">
        <f t="shared" si="5"/>
        <v>0</v>
      </c>
      <c r="V20" s="250">
        <f t="shared" si="5"/>
        <v>8</v>
      </c>
      <c r="W20" s="250">
        <f t="shared" si="5"/>
        <v>7</v>
      </c>
      <c r="X20" s="250">
        <f t="shared" si="5"/>
        <v>1</v>
      </c>
      <c r="Y20" s="250">
        <f t="shared" si="5"/>
        <v>8</v>
      </c>
      <c r="Z20" s="250">
        <f t="shared" si="5"/>
        <v>23</v>
      </c>
      <c r="AA20" s="250">
        <f t="shared" si="5"/>
        <v>9</v>
      </c>
      <c r="AB20" s="251">
        <f t="shared" si="5"/>
        <v>0</v>
      </c>
      <c r="AC20" s="250">
        <f t="shared" si="5"/>
        <v>6</v>
      </c>
      <c r="AD20" s="250">
        <f t="shared" si="5"/>
        <v>4</v>
      </c>
      <c r="AE20" s="250">
        <f t="shared" si="5"/>
        <v>6</v>
      </c>
      <c r="AF20" s="250">
        <f t="shared" si="5"/>
        <v>5</v>
      </c>
      <c r="AG20" s="250">
        <f t="shared" si="5"/>
        <v>11</v>
      </c>
      <c r="AH20" s="259">
        <f t="shared" si="5"/>
        <v>210</v>
      </c>
      <c r="AI20" s="250">
        <f t="shared" si="5"/>
        <v>0</v>
      </c>
      <c r="AJ20" s="255">
        <f t="shared" si="5"/>
        <v>8358218.04</v>
      </c>
      <c r="AK20" s="233">
        <f>'GAJI OKTOBER 2025'!AE13</f>
        <v>8358218.04</v>
      </c>
      <c r="AL20" s="233">
        <f>AJ20-AK20</f>
        <v>0</v>
      </c>
    </row>
    <row r="21" spans="1:38" s="241" customFormat="1">
      <c r="G21" s="260"/>
      <c r="N21" s="260"/>
      <c r="U21" s="260"/>
      <c r="AB21" s="260"/>
      <c r="AI21" s="261"/>
      <c r="AJ21" s="262"/>
    </row>
    <row r="22" spans="1:38">
      <c r="AI22" s="265" t="s">
        <v>104</v>
      </c>
    </row>
    <row r="24" spans="1:38">
      <c r="AL24" s="263">
        <f>12-15</f>
        <v>-3</v>
      </c>
    </row>
    <row r="30" spans="1:38">
      <c r="AL30" s="263">
        <f>17-12</f>
        <v>5</v>
      </c>
    </row>
  </sheetData>
  <mergeCells count="10">
    <mergeCell ref="A16:A17"/>
    <mergeCell ref="A2:A3"/>
    <mergeCell ref="B2:B3"/>
    <mergeCell ref="C2:AG2"/>
    <mergeCell ref="AJ2:AJ3"/>
    <mergeCell ref="A4:A5"/>
    <mergeCell ref="A7:A8"/>
    <mergeCell ref="A10:A11"/>
    <mergeCell ref="A13:A14"/>
    <mergeCell ref="AI2:AI3"/>
  </mergeCells>
  <printOptions horizontalCentered="1"/>
  <pageMargins left="0" right="0" top="0.74803149606299213" bottom="0.74803149606299213" header="0.31496062992125984" footer="0.31496062992125984"/>
  <pageSetup paperSize="9" scale="6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G41"/>
  <sheetViews>
    <sheetView tabSelected="1" zoomScale="60" zoomScaleNormal="60" zoomScaleSheetLayoutView="77" workbookViewId="0">
      <pane xSplit="6" ySplit="7" topLeftCell="AG8" activePane="bottomRight" state="frozen"/>
      <selection pane="topRight" activeCell="G1" sqref="G1"/>
      <selection pane="bottomLeft" activeCell="A8" sqref="A8"/>
      <selection pane="bottomRight" activeCell="AT13" sqref="AT13"/>
    </sheetView>
  </sheetViews>
  <sheetFormatPr defaultColWidth="9" defaultRowHeight="12.75"/>
  <cols>
    <col min="1" max="1" width="6.7109375" style="349" customWidth="1"/>
    <col min="2" max="2" width="5.140625" style="349" customWidth="1"/>
    <col min="3" max="3" width="7.140625" style="349" customWidth="1"/>
    <col min="4" max="4" width="19.85546875" style="349" customWidth="1"/>
    <col min="5" max="5" width="9.5703125" style="349" customWidth="1"/>
    <col min="6" max="6" width="15" style="349" customWidth="1"/>
    <col min="7" max="7" width="17.5703125" style="349" customWidth="1"/>
    <col min="8" max="8" width="6.5703125" style="349" customWidth="1"/>
    <col min="9" max="9" width="16.5703125" style="349" customWidth="1"/>
    <col min="10" max="10" width="7.28515625" style="349" customWidth="1"/>
    <col min="11" max="11" width="15.140625" style="349" bestFit="1" customWidth="1"/>
    <col min="12" max="12" width="6.5703125" style="349" hidden="1" customWidth="1"/>
    <col min="13" max="13" width="9.140625" style="349" hidden="1" customWidth="1"/>
    <col min="14" max="14" width="6.5703125" style="349" customWidth="1"/>
    <col min="15" max="15" width="17.7109375" style="349" customWidth="1"/>
    <col min="16" max="16" width="6.5703125" style="349" customWidth="1"/>
    <col min="17" max="17" width="16.42578125" style="349" customWidth="1"/>
    <col min="18" max="18" width="6.5703125" style="349" hidden="1" customWidth="1"/>
    <col min="19" max="19" width="5.5703125" style="349" hidden="1" customWidth="1"/>
    <col min="20" max="20" width="6.5703125" style="349" customWidth="1"/>
    <col min="21" max="21" width="12.7109375" style="349" customWidth="1"/>
    <col min="22" max="22" width="9.140625" style="349" customWidth="1"/>
    <col min="23" max="23" width="12.7109375" style="349" customWidth="1"/>
    <col min="24" max="24" width="15.5703125" style="349" customWidth="1"/>
    <col min="25" max="25" width="12.140625" style="349" customWidth="1"/>
    <col min="26" max="26" width="8.85546875" style="349" customWidth="1"/>
    <col min="27" max="27" width="14.28515625" style="349" customWidth="1"/>
    <col min="28" max="28" width="12.28515625" style="349" customWidth="1"/>
    <col min="29" max="29" width="7.28515625" style="349" customWidth="1"/>
    <col min="30" max="30" width="13.7109375" style="349" customWidth="1"/>
    <col min="31" max="31" width="17.85546875" style="349" customWidth="1"/>
    <col min="32" max="32" width="14.140625" style="349" hidden="1" customWidth="1"/>
    <col min="33" max="33" width="15.5703125" style="349" customWidth="1"/>
    <col min="34" max="34" width="17.85546875" style="349" customWidth="1"/>
    <col min="35" max="35" width="14.85546875" style="349" customWidth="1"/>
    <col min="36" max="36" width="15.28515625" style="349" customWidth="1"/>
    <col min="37" max="37" width="16.5703125" style="349" customWidth="1"/>
    <col min="38" max="38" width="14.140625" style="349" customWidth="1"/>
    <col min="39" max="39" width="15.7109375" style="349" customWidth="1"/>
    <col min="40" max="40" width="14" style="349" customWidth="1"/>
    <col min="41" max="42" width="17.42578125" style="349" customWidth="1"/>
    <col min="43" max="43" width="12.85546875" style="349" customWidth="1"/>
    <col min="44" max="44" width="13.7109375" style="349" customWidth="1"/>
    <col min="45" max="45" width="12.140625" style="349" customWidth="1"/>
    <col min="46" max="46" width="18.28515625" style="349" customWidth="1"/>
    <col min="47" max="47" width="8" style="349" customWidth="1"/>
    <col min="48" max="48" width="7.42578125" style="351" customWidth="1"/>
    <col min="49" max="49" width="17" style="349" customWidth="1"/>
    <col min="50" max="50" width="16.28515625" style="349" customWidth="1"/>
    <col min="51" max="51" width="17.42578125" style="349" customWidth="1"/>
    <col min="52" max="52" width="23.42578125" style="356" bestFit="1" customWidth="1"/>
    <col min="53" max="53" width="23.5703125" style="349" bestFit="1" customWidth="1"/>
    <col min="54" max="54" width="20.140625" style="349" customWidth="1"/>
    <col min="55" max="55" width="22.85546875" style="356" customWidth="1"/>
    <col min="56" max="56" width="17.5703125" style="349" customWidth="1"/>
    <col min="57" max="57" width="18.5703125" style="349" customWidth="1"/>
    <col min="58" max="58" width="9.7109375" style="349" bestFit="1" customWidth="1"/>
    <col min="59" max="59" width="20.140625" style="349" bestFit="1" customWidth="1"/>
    <col min="60" max="16384" width="9" style="349"/>
  </cols>
  <sheetData>
    <row r="1" spans="1:59" s="346" customFormat="1" ht="19.5" customHeight="1">
      <c r="A1" s="579" t="s">
        <v>0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  <c r="AI1" s="579"/>
      <c r="AJ1" s="579"/>
      <c r="AK1" s="579"/>
      <c r="AL1" s="579"/>
      <c r="AM1" s="579"/>
      <c r="AN1" s="579"/>
      <c r="AO1" s="579"/>
      <c r="AP1" s="579"/>
      <c r="AQ1" s="579"/>
      <c r="AR1" s="579"/>
      <c r="AS1" s="579"/>
      <c r="AT1" s="579"/>
      <c r="AU1" s="579"/>
      <c r="AV1" s="579"/>
      <c r="AZ1" s="347"/>
      <c r="BC1" s="347"/>
    </row>
    <row r="2" spans="1:59" s="346" customFormat="1" ht="18.75" customHeight="1">
      <c r="A2" s="576" t="s">
        <v>1</v>
      </c>
      <c r="B2" s="576"/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6"/>
      <c r="AU2" s="576"/>
      <c r="AV2" s="576"/>
      <c r="AZ2" s="347"/>
      <c r="BC2" s="347"/>
    </row>
    <row r="3" spans="1:59" ht="18.75" customHeight="1" thickBot="1">
      <c r="A3" s="348" t="s">
        <v>217</v>
      </c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Q3" s="350"/>
      <c r="R3" s="350"/>
      <c r="S3" s="350"/>
      <c r="T3" s="350"/>
      <c r="U3" s="350"/>
      <c r="V3" s="350"/>
      <c r="W3" s="350"/>
      <c r="X3" s="350"/>
      <c r="Y3" s="350"/>
      <c r="Z3" s="350"/>
      <c r="AA3" s="350"/>
      <c r="AB3" s="350"/>
      <c r="AC3" s="350"/>
      <c r="AD3" s="351"/>
      <c r="AE3" s="350"/>
      <c r="AF3" s="350"/>
      <c r="AG3" s="350"/>
      <c r="AH3" s="352"/>
      <c r="AI3" s="353">
        <v>3876600</v>
      </c>
      <c r="AK3" s="354"/>
      <c r="AO3" s="355" t="s">
        <v>46</v>
      </c>
      <c r="AP3" s="348" t="s">
        <v>2</v>
      </c>
    </row>
    <row r="4" spans="1:59" s="359" customFormat="1" ht="21" customHeight="1">
      <c r="A4" s="357"/>
      <c r="B4" s="598" t="s">
        <v>3</v>
      </c>
      <c r="C4" s="598" t="s">
        <v>4</v>
      </c>
      <c r="D4" s="358"/>
      <c r="E4" s="358"/>
      <c r="F4" s="358"/>
      <c r="G4" s="358"/>
      <c r="H4" s="601" t="s">
        <v>5</v>
      </c>
      <c r="I4" s="602"/>
      <c r="J4" s="602"/>
      <c r="K4" s="602"/>
      <c r="L4" s="602"/>
      <c r="M4" s="602"/>
      <c r="N4" s="602"/>
      <c r="O4" s="602"/>
      <c r="P4" s="602"/>
      <c r="Q4" s="602"/>
      <c r="R4" s="602"/>
      <c r="S4" s="602"/>
      <c r="T4" s="602"/>
      <c r="U4" s="603"/>
      <c r="V4" s="592" t="s">
        <v>7</v>
      </c>
      <c r="W4" s="601" t="s">
        <v>6</v>
      </c>
      <c r="X4" s="602"/>
      <c r="Y4" s="602"/>
      <c r="Z4" s="602"/>
      <c r="AA4" s="602"/>
      <c r="AB4" s="602"/>
      <c r="AC4" s="602"/>
      <c r="AD4" s="603"/>
      <c r="AE4" s="584" t="s">
        <v>47</v>
      </c>
      <c r="AF4" s="584" t="s">
        <v>137</v>
      </c>
      <c r="AG4" s="584" t="s">
        <v>63</v>
      </c>
      <c r="AH4" s="527" t="s">
        <v>7</v>
      </c>
      <c r="AI4" s="605" t="s">
        <v>8</v>
      </c>
      <c r="AJ4" s="606"/>
      <c r="AK4" s="607"/>
      <c r="AL4" s="605" t="s">
        <v>48</v>
      </c>
      <c r="AM4" s="606"/>
      <c r="AN4" s="606"/>
      <c r="AO4" s="606"/>
      <c r="AP4" s="607"/>
      <c r="AQ4" s="358"/>
      <c r="AR4" s="584" t="s">
        <v>49</v>
      </c>
      <c r="AS4" s="584" t="s">
        <v>214</v>
      </c>
      <c r="AT4" s="530" t="s">
        <v>7</v>
      </c>
      <c r="AU4" s="587" t="s">
        <v>50</v>
      </c>
      <c r="AV4" s="588"/>
      <c r="AZ4" s="360"/>
      <c r="BC4" s="360"/>
    </row>
    <row r="5" spans="1:59" s="359" customFormat="1" ht="33.75" customHeight="1">
      <c r="A5" s="361" t="s">
        <v>9</v>
      </c>
      <c r="B5" s="599"/>
      <c r="C5" s="599"/>
      <c r="D5" s="362" t="s">
        <v>51</v>
      </c>
      <c r="E5" s="362" t="s">
        <v>10</v>
      </c>
      <c r="F5" s="362" t="s">
        <v>11</v>
      </c>
      <c r="G5" s="362" t="s">
        <v>11</v>
      </c>
      <c r="H5" s="582" t="s">
        <v>12</v>
      </c>
      <c r="I5" s="583"/>
      <c r="J5" s="582" t="s">
        <v>13</v>
      </c>
      <c r="K5" s="583"/>
      <c r="L5" s="582" t="s">
        <v>14</v>
      </c>
      <c r="M5" s="583"/>
      <c r="N5" s="582" t="s">
        <v>15</v>
      </c>
      <c r="O5" s="583"/>
      <c r="P5" s="582" t="s">
        <v>16</v>
      </c>
      <c r="Q5" s="583"/>
      <c r="R5" s="580" t="s">
        <v>17</v>
      </c>
      <c r="S5" s="581"/>
      <c r="T5" s="582" t="s">
        <v>18</v>
      </c>
      <c r="U5" s="583"/>
      <c r="V5" s="593"/>
      <c r="W5" s="582" t="s">
        <v>19</v>
      </c>
      <c r="X5" s="583"/>
      <c r="Y5" s="582" t="s">
        <v>20</v>
      </c>
      <c r="Z5" s="591"/>
      <c r="AA5" s="583"/>
      <c r="AB5" s="582" t="s">
        <v>21</v>
      </c>
      <c r="AC5" s="591"/>
      <c r="AD5" s="583"/>
      <c r="AE5" s="585"/>
      <c r="AF5" s="585"/>
      <c r="AG5" s="585"/>
      <c r="AH5" s="528" t="s">
        <v>11</v>
      </c>
      <c r="AI5" s="608"/>
      <c r="AJ5" s="609"/>
      <c r="AK5" s="610"/>
      <c r="AL5" s="608"/>
      <c r="AM5" s="609"/>
      <c r="AN5" s="609"/>
      <c r="AO5" s="609"/>
      <c r="AP5" s="610"/>
      <c r="AQ5" s="362" t="s">
        <v>22</v>
      </c>
      <c r="AR5" s="585"/>
      <c r="AS5" s="585"/>
      <c r="AT5" s="362" t="s">
        <v>11</v>
      </c>
      <c r="AU5" s="589"/>
      <c r="AV5" s="590"/>
      <c r="AZ5" s="360"/>
      <c r="BC5" s="360"/>
    </row>
    <row r="6" spans="1:59" s="359" customFormat="1" ht="54" customHeight="1">
      <c r="A6" s="361" t="s">
        <v>62</v>
      </c>
      <c r="B6" s="599"/>
      <c r="C6" s="599"/>
      <c r="D6" s="362" t="s">
        <v>52</v>
      </c>
      <c r="E6" s="362" t="s">
        <v>53</v>
      </c>
      <c r="F6" s="362" t="s">
        <v>23</v>
      </c>
      <c r="G6" s="362" t="s">
        <v>54</v>
      </c>
      <c r="H6" s="582" t="s">
        <v>7</v>
      </c>
      <c r="I6" s="583"/>
      <c r="J6" s="582" t="s">
        <v>7</v>
      </c>
      <c r="K6" s="583"/>
      <c r="L6" s="582" t="s">
        <v>7</v>
      </c>
      <c r="M6" s="583"/>
      <c r="N6" s="582" t="s">
        <v>7</v>
      </c>
      <c r="O6" s="583"/>
      <c r="P6" s="582" t="s">
        <v>7</v>
      </c>
      <c r="Q6" s="583"/>
      <c r="R6" s="580" t="s">
        <v>7</v>
      </c>
      <c r="S6" s="581"/>
      <c r="T6" s="582" t="s">
        <v>7</v>
      </c>
      <c r="U6" s="583"/>
      <c r="V6" s="593"/>
      <c r="W6" s="528" t="s">
        <v>26</v>
      </c>
      <c r="X6" s="363" t="s">
        <v>25</v>
      </c>
      <c r="Y6" s="528" t="s">
        <v>26</v>
      </c>
      <c r="Z6" s="582" t="s">
        <v>7</v>
      </c>
      <c r="AA6" s="583"/>
      <c r="AB6" s="364" t="s">
        <v>26</v>
      </c>
      <c r="AC6" s="582" t="s">
        <v>7</v>
      </c>
      <c r="AD6" s="583"/>
      <c r="AE6" s="604"/>
      <c r="AF6" s="604"/>
      <c r="AG6" s="604"/>
      <c r="AH6" s="365" t="s">
        <v>55</v>
      </c>
      <c r="AI6" s="362" t="s">
        <v>28</v>
      </c>
      <c r="AJ6" s="362" t="s">
        <v>29</v>
      </c>
      <c r="AK6" s="362" t="s">
        <v>7</v>
      </c>
      <c r="AL6" s="362" t="s">
        <v>28</v>
      </c>
      <c r="AM6" s="362" t="s">
        <v>29</v>
      </c>
      <c r="AN6" s="362" t="s">
        <v>28</v>
      </c>
      <c r="AO6" s="362" t="s">
        <v>29</v>
      </c>
      <c r="AP6" s="528" t="s">
        <v>7</v>
      </c>
      <c r="AQ6" s="362" t="s">
        <v>30</v>
      </c>
      <c r="AR6" s="585"/>
      <c r="AS6" s="585"/>
      <c r="AT6" s="362" t="s">
        <v>31</v>
      </c>
      <c r="AU6" s="366" t="s">
        <v>32</v>
      </c>
      <c r="AV6" s="367" t="s">
        <v>56</v>
      </c>
      <c r="AW6" s="368" t="s">
        <v>32</v>
      </c>
      <c r="AX6" s="369" t="s">
        <v>56</v>
      </c>
      <c r="AZ6" s="360" t="s">
        <v>33</v>
      </c>
      <c r="BA6" s="359" t="s">
        <v>210</v>
      </c>
      <c r="BB6" s="370"/>
      <c r="BC6" s="360"/>
      <c r="BD6" s="359" t="s">
        <v>172</v>
      </c>
    </row>
    <row r="7" spans="1:59" s="359" customFormat="1" ht="26.25" customHeight="1" thickBot="1">
      <c r="A7" s="371"/>
      <c r="B7" s="600"/>
      <c r="C7" s="600"/>
      <c r="D7" s="372"/>
      <c r="E7" s="372"/>
      <c r="F7" s="372" t="s">
        <v>24</v>
      </c>
      <c r="G7" s="372" t="s">
        <v>24</v>
      </c>
      <c r="H7" s="529" t="s">
        <v>10</v>
      </c>
      <c r="I7" s="372" t="s">
        <v>24</v>
      </c>
      <c r="J7" s="529" t="s">
        <v>10</v>
      </c>
      <c r="K7" s="372" t="s">
        <v>24</v>
      </c>
      <c r="L7" s="529" t="s">
        <v>10</v>
      </c>
      <c r="M7" s="372" t="s">
        <v>24</v>
      </c>
      <c r="N7" s="529" t="s">
        <v>10</v>
      </c>
      <c r="O7" s="372" t="s">
        <v>24</v>
      </c>
      <c r="P7" s="529" t="s">
        <v>10</v>
      </c>
      <c r="Q7" s="372" t="s">
        <v>24</v>
      </c>
      <c r="R7" s="529" t="s">
        <v>10</v>
      </c>
      <c r="S7" s="372" t="s">
        <v>24</v>
      </c>
      <c r="T7" s="529" t="s">
        <v>10</v>
      </c>
      <c r="U7" s="372" t="s">
        <v>24</v>
      </c>
      <c r="V7" s="594"/>
      <c r="W7" s="529" t="s">
        <v>33</v>
      </c>
      <c r="X7" s="529" t="s">
        <v>24</v>
      </c>
      <c r="Y7" s="529" t="s">
        <v>33</v>
      </c>
      <c r="Z7" s="529" t="s">
        <v>33</v>
      </c>
      <c r="AA7" s="529" t="s">
        <v>24</v>
      </c>
      <c r="AB7" s="529" t="s">
        <v>34</v>
      </c>
      <c r="AC7" s="529" t="s">
        <v>34</v>
      </c>
      <c r="AD7" s="529" t="s">
        <v>24</v>
      </c>
      <c r="AE7" s="529" t="s">
        <v>24</v>
      </c>
      <c r="AF7" s="529" t="s">
        <v>24</v>
      </c>
      <c r="AG7" s="372" t="s">
        <v>24</v>
      </c>
      <c r="AH7" s="373" t="s">
        <v>24</v>
      </c>
      <c r="AI7" s="372" t="s">
        <v>24</v>
      </c>
      <c r="AJ7" s="372" t="s">
        <v>24</v>
      </c>
      <c r="AK7" s="372" t="s">
        <v>24</v>
      </c>
      <c r="AL7" s="362" t="s">
        <v>57</v>
      </c>
      <c r="AM7" s="362" t="s">
        <v>24</v>
      </c>
      <c r="AN7" s="362" t="s">
        <v>58</v>
      </c>
      <c r="AO7" s="362" t="s">
        <v>24</v>
      </c>
      <c r="AP7" s="372" t="s">
        <v>24</v>
      </c>
      <c r="AQ7" s="372"/>
      <c r="AR7" s="586"/>
      <c r="AS7" s="586"/>
      <c r="AT7" s="362" t="s">
        <v>24</v>
      </c>
      <c r="AU7" s="374"/>
      <c r="AV7" s="375"/>
      <c r="AZ7" s="360"/>
      <c r="BC7" s="360"/>
    </row>
    <row r="8" spans="1:59" s="385" customFormat="1" ht="84.75" customHeight="1">
      <c r="A8" s="376">
        <v>1</v>
      </c>
      <c r="B8" s="377" t="s">
        <v>35</v>
      </c>
      <c r="C8" s="378" t="s">
        <v>193</v>
      </c>
      <c r="D8" s="379" t="s">
        <v>36</v>
      </c>
      <c r="E8" s="377">
        <f>HK!AH6</f>
        <v>24</v>
      </c>
      <c r="F8" s="380">
        <v>129220</v>
      </c>
      <c r="G8" s="377">
        <f>SUM(F8*E8)</f>
        <v>3101280</v>
      </c>
      <c r="H8" s="453">
        <f>HK!AI6</f>
        <v>1</v>
      </c>
      <c r="I8" s="453">
        <f>H8*F8</f>
        <v>129220</v>
      </c>
      <c r="J8" s="453">
        <f>HK!AJ6</f>
        <v>2</v>
      </c>
      <c r="K8" s="453">
        <f t="shared" ref="K8:K9" si="0">J8*F8</f>
        <v>258440</v>
      </c>
      <c r="L8" s="453"/>
      <c r="M8" s="453">
        <f t="shared" ref="M8:M12" si="1">L8*F8</f>
        <v>0</v>
      </c>
      <c r="N8" s="453">
        <f>HK!AL6</f>
        <v>4</v>
      </c>
      <c r="O8" s="453">
        <f>N8*F8</f>
        <v>516880</v>
      </c>
      <c r="P8" s="453">
        <f>HK!AM6</f>
        <v>0</v>
      </c>
      <c r="Q8" s="453">
        <f>P8*F8</f>
        <v>0</v>
      </c>
      <c r="R8" s="453"/>
      <c r="S8" s="453">
        <f t="shared" ref="S8:S12" si="2">R8*F8</f>
        <v>0</v>
      </c>
      <c r="T8" s="453">
        <f>HK!AO6</f>
        <v>0</v>
      </c>
      <c r="U8" s="454">
        <f t="shared" ref="U8:U12" si="3">T8*F8</f>
        <v>0</v>
      </c>
      <c r="V8" s="454">
        <f t="shared" ref="V8:V12" si="4">SUM(E8+H8+J8+L8+N8+P8+R8+T8)</f>
        <v>31</v>
      </c>
      <c r="W8" s="454">
        <v>3700</v>
      </c>
      <c r="X8" s="454">
        <f>W8*V8</f>
        <v>114700</v>
      </c>
      <c r="Y8" s="453">
        <v>2500</v>
      </c>
      <c r="Z8" s="454">
        <f>E8</f>
        <v>24</v>
      </c>
      <c r="AA8" s="534">
        <f>Z8*Y8</f>
        <v>60000</v>
      </c>
      <c r="AB8" s="454">
        <v>2500</v>
      </c>
      <c r="AC8" s="454">
        <f>'MASA KERJA'!H8</f>
        <v>28</v>
      </c>
      <c r="AD8" s="534">
        <f>'MASA KERJA'!I8</f>
        <v>89000</v>
      </c>
      <c r="AE8" s="454">
        <f>LEMBUR!AJ6</f>
        <v>1658198.76</v>
      </c>
      <c r="AF8" s="454"/>
      <c r="AG8" s="534">
        <v>400000</v>
      </c>
      <c r="AH8" s="454">
        <f>G8+I8+K8+M8+O8+Q8+S8+U8+X8+AA8+AD8+AE8+AG8</f>
        <v>6327718.7599999998</v>
      </c>
      <c r="AI8" s="453">
        <f>(AI3+AD8)*0.02</f>
        <v>79312</v>
      </c>
      <c r="AJ8" s="453">
        <f>(AI3+AD8)*0.0454</f>
        <v>180038.24000000002</v>
      </c>
      <c r="AK8" s="454">
        <f>SUM(AJ8+AI8)</f>
        <v>259350.24000000002</v>
      </c>
      <c r="AL8" s="453">
        <f>(AI3+AD8)*1%</f>
        <v>39656</v>
      </c>
      <c r="AM8" s="453">
        <f>(AI3+AD8)*4%</f>
        <v>158624</v>
      </c>
      <c r="AN8" s="453">
        <f>(AI3+AD8)*1%</f>
        <v>39656</v>
      </c>
      <c r="AO8" s="453">
        <f>(AI3+AD8)*2%</f>
        <v>79312</v>
      </c>
      <c r="AP8" s="454">
        <f>SUM(AL8:AO8)</f>
        <v>317248</v>
      </c>
      <c r="AQ8" s="534">
        <v>4000</v>
      </c>
      <c r="AR8" s="454">
        <v>0</v>
      </c>
      <c r="AS8" s="454"/>
      <c r="AT8" s="453">
        <f>SUM(AH8-AI8-AL8-AN8-AQ8-AR8+AS8)</f>
        <v>6165094.7599999998</v>
      </c>
      <c r="AU8" s="455">
        <f>HK!AQ6</f>
        <v>0</v>
      </c>
      <c r="AV8" s="381">
        <f>HK!AR6</f>
        <v>0</v>
      </c>
      <c r="AW8" s="382">
        <f>AU8*F8</f>
        <v>0</v>
      </c>
      <c r="AX8" s="382">
        <f>F8*AV8</f>
        <v>0</v>
      </c>
      <c r="AY8" s="382">
        <f>-(AW8+AX8)</f>
        <v>0</v>
      </c>
      <c r="AZ8" s="383">
        <f>(V8*F8)+AW8+AX8</f>
        <v>4005820</v>
      </c>
      <c r="BA8" s="384">
        <f>AW8+AX8+AZ8</f>
        <v>4005820</v>
      </c>
      <c r="BB8" s="384">
        <f>AZ8-BA8</f>
        <v>0</v>
      </c>
      <c r="BC8" s="382">
        <f>X8+AA8+AD8+AE8+AG8</f>
        <v>2321898.7599999998</v>
      </c>
      <c r="BD8" s="385">
        <v>30576</v>
      </c>
      <c r="BE8" s="386">
        <f>BD8+AM8</f>
        <v>189200</v>
      </c>
      <c r="BG8" s="385">
        <f>V8*F8</f>
        <v>4005820</v>
      </c>
    </row>
    <row r="9" spans="1:59" s="385" customFormat="1" ht="84.75" customHeight="1">
      <c r="A9" s="387">
        <v>2</v>
      </c>
      <c r="B9" s="388" t="s">
        <v>35</v>
      </c>
      <c r="C9" s="389" t="s">
        <v>194</v>
      </c>
      <c r="D9" s="390" t="s">
        <v>37</v>
      </c>
      <c r="E9" s="388">
        <f>HK!AH7</f>
        <v>23</v>
      </c>
      <c r="F9" s="380">
        <v>129220</v>
      </c>
      <c r="G9" s="388">
        <f t="shared" ref="G9:G12" si="5">SUM(F9*E9)</f>
        <v>2972060</v>
      </c>
      <c r="H9" s="456">
        <f>HK!AI7</f>
        <v>1</v>
      </c>
      <c r="I9" s="456">
        <f t="shared" ref="I9" si="6">H9*F9</f>
        <v>129220</v>
      </c>
      <c r="J9" s="456">
        <f>HK!AJ7</f>
        <v>2</v>
      </c>
      <c r="K9" s="456">
        <f t="shared" si="0"/>
        <v>258440</v>
      </c>
      <c r="L9" s="457"/>
      <c r="M9" s="457">
        <f t="shared" si="1"/>
        <v>0</v>
      </c>
      <c r="N9" s="456">
        <f>HK!AL7</f>
        <v>4</v>
      </c>
      <c r="O9" s="457">
        <f>N9*F9</f>
        <v>516880</v>
      </c>
      <c r="P9" s="456">
        <f>HK!AM7</f>
        <v>0</v>
      </c>
      <c r="Q9" s="457">
        <f>P9*F9</f>
        <v>0</v>
      </c>
      <c r="R9" s="457"/>
      <c r="S9" s="457">
        <f t="shared" si="2"/>
        <v>0</v>
      </c>
      <c r="T9" s="456">
        <f>HK!AO7</f>
        <v>0</v>
      </c>
      <c r="U9" s="457">
        <f t="shared" si="3"/>
        <v>0</v>
      </c>
      <c r="V9" s="456">
        <f t="shared" si="4"/>
        <v>30</v>
      </c>
      <c r="W9" s="456">
        <v>3250</v>
      </c>
      <c r="X9" s="456">
        <f>W9*V9</f>
        <v>97500</v>
      </c>
      <c r="Y9" s="458">
        <v>2500</v>
      </c>
      <c r="Z9" s="456">
        <f>E9</f>
        <v>23</v>
      </c>
      <c r="AA9" s="535">
        <f t="shared" ref="AA9:AA12" si="7">Z9*Y9</f>
        <v>57500</v>
      </c>
      <c r="AB9" s="457">
        <v>2500</v>
      </c>
      <c r="AC9" s="458">
        <f>'MASA KERJA'!H9</f>
        <v>15</v>
      </c>
      <c r="AD9" s="537">
        <f>'MASA KERJA'!I9</f>
        <v>43500</v>
      </c>
      <c r="AE9" s="457">
        <f>LEMBUR!AJ9</f>
        <v>1792647.3</v>
      </c>
      <c r="AF9" s="457"/>
      <c r="AG9" s="457"/>
      <c r="AH9" s="456">
        <f>G9+I9+K9+M9+O9+Q9+S9+U9+X9+AA9+AD9+AE9+AG9</f>
        <v>5867747.2999999998</v>
      </c>
      <c r="AI9" s="458">
        <f>(AI3+AD9)*0.02</f>
        <v>78402</v>
      </c>
      <c r="AJ9" s="458">
        <f>(AI3+AD9)*0.0454</f>
        <v>177972.54</v>
      </c>
      <c r="AK9" s="456">
        <f t="shared" ref="AK9:AK10" si="8">SUM(AJ9+AI9)</f>
        <v>256374.54</v>
      </c>
      <c r="AL9" s="456">
        <f>(AI3+AD9)*1%</f>
        <v>39201</v>
      </c>
      <c r="AM9" s="456">
        <f>(AI3+AD9)*4%</f>
        <v>156804</v>
      </c>
      <c r="AN9" s="458">
        <f>(AI3+AD9)*1%</f>
        <v>39201</v>
      </c>
      <c r="AO9" s="458">
        <f>(AI3+AD9)*2%</f>
        <v>78402</v>
      </c>
      <c r="AP9" s="456">
        <f>SUM(AL9:AO9)</f>
        <v>313608</v>
      </c>
      <c r="AQ9" s="535">
        <v>4000</v>
      </c>
      <c r="AR9" s="535">
        <v>45431</v>
      </c>
      <c r="AS9" s="456"/>
      <c r="AT9" s="456">
        <f>SUM(AH9-AI9-AL9-AN9-AQ9-AR9+AS9)</f>
        <v>5661512.2999999998</v>
      </c>
      <c r="AU9" s="500">
        <f>HK!AQ7</f>
        <v>0</v>
      </c>
      <c r="AV9" s="501">
        <f>HK!AR7</f>
        <v>1</v>
      </c>
      <c r="AW9" s="382">
        <f>AU9*F9</f>
        <v>0</v>
      </c>
      <c r="AX9" s="382">
        <f>F9*AV9</f>
        <v>129220</v>
      </c>
      <c r="AY9" s="382">
        <f>-(AW9+AX9)</f>
        <v>-129220</v>
      </c>
      <c r="AZ9" s="383">
        <f>(V9*F9)+AW9+AX9</f>
        <v>4005820</v>
      </c>
      <c r="BA9" s="384">
        <f>AW9+AX9+AZ9</f>
        <v>4135040</v>
      </c>
      <c r="BB9" s="384">
        <f t="shared" ref="BB9:BB12" si="9">AZ9-BA9</f>
        <v>-129220</v>
      </c>
      <c r="BC9" s="382">
        <f>X9+AA9+AD9+AE9+AG9</f>
        <v>1991147.3</v>
      </c>
      <c r="BD9" s="385">
        <v>30575.999999999996</v>
      </c>
      <c r="BE9" s="386">
        <f t="shared" ref="BE9:BE12" si="10">BD9+AM9</f>
        <v>187380</v>
      </c>
      <c r="BG9" s="385">
        <f>V9*F9</f>
        <v>3876600</v>
      </c>
    </row>
    <row r="10" spans="1:59" s="385" customFormat="1" ht="84.75" customHeight="1">
      <c r="A10" s="387">
        <v>3</v>
      </c>
      <c r="B10" s="388" t="s">
        <v>35</v>
      </c>
      <c r="C10" s="389" t="s">
        <v>195</v>
      </c>
      <c r="D10" s="392" t="s">
        <v>38</v>
      </c>
      <c r="E10" s="388">
        <f>HK!AH8</f>
        <v>26</v>
      </c>
      <c r="F10" s="380">
        <v>129220</v>
      </c>
      <c r="G10" s="388">
        <f t="shared" si="5"/>
        <v>3359720</v>
      </c>
      <c r="H10" s="456">
        <f>HK!AI8</f>
        <v>1</v>
      </c>
      <c r="I10" s="456">
        <f>H10*F10</f>
        <v>129220</v>
      </c>
      <c r="J10" s="456">
        <f>HK!AJ8</f>
        <v>0</v>
      </c>
      <c r="K10" s="456">
        <f>J10*F10</f>
        <v>0</v>
      </c>
      <c r="L10" s="457"/>
      <c r="M10" s="456">
        <f t="shared" si="1"/>
        <v>0</v>
      </c>
      <c r="N10" s="456">
        <f>HK!AL8</f>
        <v>4</v>
      </c>
      <c r="O10" s="457">
        <f t="shared" ref="O10:O12" si="11">N10*F10</f>
        <v>516880</v>
      </c>
      <c r="P10" s="456">
        <f>HK!AM8</f>
        <v>0</v>
      </c>
      <c r="Q10" s="456">
        <f>P10*F10</f>
        <v>0</v>
      </c>
      <c r="R10" s="457"/>
      <c r="S10" s="456">
        <f t="shared" si="2"/>
        <v>0</v>
      </c>
      <c r="T10" s="456">
        <f>HK!AO8</f>
        <v>0</v>
      </c>
      <c r="U10" s="456">
        <f t="shared" si="3"/>
        <v>0</v>
      </c>
      <c r="V10" s="456">
        <f t="shared" si="4"/>
        <v>31</v>
      </c>
      <c r="W10" s="456">
        <v>3700</v>
      </c>
      <c r="X10" s="456">
        <f>W10*V10</f>
        <v>114700</v>
      </c>
      <c r="Y10" s="460">
        <v>2500</v>
      </c>
      <c r="Z10" s="456">
        <f>E10</f>
        <v>26</v>
      </c>
      <c r="AA10" s="535">
        <f>Z10*Y10</f>
        <v>65000</v>
      </c>
      <c r="AB10" s="456">
        <v>2500</v>
      </c>
      <c r="AC10" s="458">
        <f>'MASA KERJA'!H10</f>
        <v>15</v>
      </c>
      <c r="AD10" s="537">
        <f>'MASA KERJA'!I10</f>
        <v>43500</v>
      </c>
      <c r="AE10" s="457">
        <f>LEMBUR!AJ12</f>
        <v>1310873.3399999999</v>
      </c>
      <c r="AF10" s="456"/>
      <c r="AG10" s="456"/>
      <c r="AH10" s="456">
        <f>G10+I10+K10+M10+O10+Q10+S10+U10+X10+AA10+AD10+AE10+AG10</f>
        <v>5539893.3399999999</v>
      </c>
      <c r="AI10" s="458">
        <f>(AI3+AD10)*0.02</f>
        <v>78402</v>
      </c>
      <c r="AJ10" s="458">
        <f>(AI3+AD10)*0.0454</f>
        <v>177972.54</v>
      </c>
      <c r="AK10" s="456">
        <f t="shared" si="8"/>
        <v>256374.54</v>
      </c>
      <c r="AL10" s="456">
        <f>(AI3+AD10)*1%</f>
        <v>39201</v>
      </c>
      <c r="AM10" s="456">
        <f>(AI3+AD10)*4%</f>
        <v>156804</v>
      </c>
      <c r="AN10" s="458">
        <f>(AI3+AD10)*1%</f>
        <v>39201</v>
      </c>
      <c r="AO10" s="458">
        <f>(AI3+AD10)*2%</f>
        <v>78402</v>
      </c>
      <c r="AP10" s="456">
        <f>SUM(AL10:AO10)</f>
        <v>313608</v>
      </c>
      <c r="AQ10" s="535">
        <v>4000</v>
      </c>
      <c r="AR10" s="456">
        <v>0</v>
      </c>
      <c r="AS10" s="456"/>
      <c r="AT10" s="456">
        <f t="shared" ref="AT10:AT11" si="12">SUM(AH10-AI10-AL10-AN10-AQ10-AR10+AS10)</f>
        <v>5379089.3399999999</v>
      </c>
      <c r="AU10" s="459">
        <f>HK!AQ8</f>
        <v>0</v>
      </c>
      <c r="AV10" s="391">
        <f>HK!AR8</f>
        <v>0</v>
      </c>
      <c r="AW10" s="382">
        <f>AU10*F10</f>
        <v>0</v>
      </c>
      <c r="AX10" s="382">
        <f>F10*AV10</f>
        <v>0</v>
      </c>
      <c r="AY10" s="382">
        <f t="shared" ref="AY10:AY12" si="13">-(AW10+AX10)</f>
        <v>0</v>
      </c>
      <c r="AZ10" s="383">
        <f>(V10*F10)+AW10+AX10</f>
        <v>4005820</v>
      </c>
      <c r="BA10" s="384">
        <f>AW10+AX10+AZ10</f>
        <v>4005820</v>
      </c>
      <c r="BB10" s="384">
        <f t="shared" si="9"/>
        <v>0</v>
      </c>
      <c r="BC10" s="382">
        <f>X10+AA10+AD10+AE10+AG10</f>
        <v>1534073.3399999999</v>
      </c>
      <c r="BD10" s="385">
        <v>30575.999999999996</v>
      </c>
      <c r="BE10" s="386">
        <f t="shared" si="10"/>
        <v>187380</v>
      </c>
      <c r="BG10" s="385">
        <f>V10*F10</f>
        <v>4005820</v>
      </c>
    </row>
    <row r="11" spans="1:59" s="385" customFormat="1" ht="84.75" customHeight="1">
      <c r="A11" s="387">
        <v>4</v>
      </c>
      <c r="B11" s="388" t="s">
        <v>35</v>
      </c>
      <c r="C11" s="389" t="s">
        <v>196</v>
      </c>
      <c r="D11" s="393" t="s">
        <v>99</v>
      </c>
      <c r="E11" s="388">
        <f>HK!AH9</f>
        <v>24</v>
      </c>
      <c r="F11" s="380">
        <v>129220</v>
      </c>
      <c r="G11" s="388">
        <f t="shared" si="5"/>
        <v>3101280</v>
      </c>
      <c r="H11" s="456">
        <f>HK!AI9</f>
        <v>3</v>
      </c>
      <c r="I11" s="456">
        <f t="shared" ref="I11:I12" si="14">H11*F11</f>
        <v>387660</v>
      </c>
      <c r="J11" s="456">
        <f>HK!AJ9</f>
        <v>0</v>
      </c>
      <c r="K11" s="456">
        <f>J11*F11</f>
        <v>0</v>
      </c>
      <c r="L11" s="457"/>
      <c r="M11" s="456">
        <f t="shared" si="1"/>
        <v>0</v>
      </c>
      <c r="N11" s="456">
        <f>HK!AL9</f>
        <v>4</v>
      </c>
      <c r="O11" s="457">
        <f t="shared" si="11"/>
        <v>516880</v>
      </c>
      <c r="P11" s="456">
        <f>HK!AM9</f>
        <v>0</v>
      </c>
      <c r="Q11" s="456">
        <f>P11*F11</f>
        <v>0</v>
      </c>
      <c r="R11" s="457"/>
      <c r="S11" s="456">
        <f t="shared" si="2"/>
        <v>0</v>
      </c>
      <c r="T11" s="456">
        <f>HK!AO9</f>
        <v>0</v>
      </c>
      <c r="U11" s="456">
        <f t="shared" si="3"/>
        <v>0</v>
      </c>
      <c r="V11" s="456">
        <f t="shared" si="4"/>
        <v>31</v>
      </c>
      <c r="W11" s="456">
        <v>4650</v>
      </c>
      <c r="X11" s="456">
        <f>W11*V11</f>
        <v>144150</v>
      </c>
      <c r="Y11" s="458">
        <v>2500</v>
      </c>
      <c r="Z11" s="456">
        <f>E11</f>
        <v>24</v>
      </c>
      <c r="AA11" s="535">
        <f t="shared" si="7"/>
        <v>60000</v>
      </c>
      <c r="AB11" s="456">
        <v>2500</v>
      </c>
      <c r="AC11" s="458">
        <f>'MASA KERJA'!H11</f>
        <v>5</v>
      </c>
      <c r="AD11" s="537">
        <f>'MASA KERJA'!I11</f>
        <v>12500</v>
      </c>
      <c r="AE11" s="457">
        <f>LEMBUR!AJ15</f>
        <v>1445321.88</v>
      </c>
      <c r="AF11" s="456"/>
      <c r="AG11" s="456"/>
      <c r="AH11" s="456">
        <f>G11+I11+K11+M11+O11+Q11+S11+U11+X11+AA11+AD11+AE11+AG11</f>
        <v>5667791.8799999999</v>
      </c>
      <c r="AI11" s="458">
        <f>(AI3+AD11)*0.02</f>
        <v>77782</v>
      </c>
      <c r="AJ11" s="458">
        <f>(AI3+AD11)*0.0454</f>
        <v>176565.14</v>
      </c>
      <c r="AK11" s="456">
        <f>SUM(AJ11+AI11)</f>
        <v>254347.14</v>
      </c>
      <c r="AL11" s="456">
        <f>(AI3+AD11)*1%</f>
        <v>38891</v>
      </c>
      <c r="AM11" s="456">
        <f>(AI3+AD11)*4%</f>
        <v>155564</v>
      </c>
      <c r="AN11" s="458">
        <f>(AI3+AD11)*1%</f>
        <v>38891</v>
      </c>
      <c r="AO11" s="458">
        <f>(AI3+AD11)*2%</f>
        <v>77782</v>
      </c>
      <c r="AP11" s="456">
        <f>SUM(AL11:AO11)</f>
        <v>311128</v>
      </c>
      <c r="AQ11" s="535">
        <v>4000</v>
      </c>
      <c r="AR11" s="456">
        <v>0</v>
      </c>
      <c r="AS11" s="456"/>
      <c r="AT11" s="456">
        <f t="shared" si="12"/>
        <v>5508227.8799999999</v>
      </c>
      <c r="AU11" s="459">
        <f>HK!AQ9</f>
        <v>0</v>
      </c>
      <c r="AV11" s="391">
        <f>HK!AR9</f>
        <v>0</v>
      </c>
      <c r="AW11" s="382">
        <f>AU11*F11</f>
        <v>0</v>
      </c>
      <c r="AX11" s="382">
        <f>F11*AV11</f>
        <v>0</v>
      </c>
      <c r="AY11" s="382">
        <f t="shared" si="13"/>
        <v>0</v>
      </c>
      <c r="AZ11" s="383">
        <f>(V11*F11)+AW11+AX11</f>
        <v>4005820</v>
      </c>
      <c r="BA11" s="384">
        <f t="shared" ref="BA11:BA12" si="15">AW11+AX11+AZ11</f>
        <v>4005820</v>
      </c>
      <c r="BB11" s="384">
        <f t="shared" si="9"/>
        <v>0</v>
      </c>
      <c r="BC11" s="382">
        <f>X11+AA11+AD11+AE11+AG11</f>
        <v>1661971.88</v>
      </c>
      <c r="BD11" s="385">
        <v>30575.999999999996</v>
      </c>
      <c r="BE11" s="386">
        <f t="shared" si="10"/>
        <v>186140</v>
      </c>
      <c r="BG11" s="385">
        <f>V11*F11</f>
        <v>4005820</v>
      </c>
    </row>
    <row r="12" spans="1:59" s="385" customFormat="1" ht="84.75" customHeight="1" thickBot="1">
      <c r="A12" s="682">
        <v>5</v>
      </c>
      <c r="B12" s="394" t="s">
        <v>35</v>
      </c>
      <c r="C12" s="395" t="s">
        <v>197</v>
      </c>
      <c r="D12" s="396" t="s">
        <v>129</v>
      </c>
      <c r="E12" s="388">
        <f>HK!AH10</f>
        <v>25</v>
      </c>
      <c r="F12" s="380">
        <v>129220</v>
      </c>
      <c r="G12" s="394">
        <f t="shared" si="5"/>
        <v>3230500</v>
      </c>
      <c r="H12" s="461">
        <f>HK!AI10</f>
        <v>2</v>
      </c>
      <c r="I12" s="462">
        <f t="shared" si="14"/>
        <v>258440</v>
      </c>
      <c r="J12" s="460">
        <f>HK!AJ10</f>
        <v>0</v>
      </c>
      <c r="K12" s="462">
        <f>J12*F12</f>
        <v>0</v>
      </c>
      <c r="L12" s="463"/>
      <c r="M12" s="462">
        <f t="shared" si="1"/>
        <v>0</v>
      </c>
      <c r="N12" s="461">
        <f>HK!AL10</f>
        <v>4</v>
      </c>
      <c r="O12" s="463">
        <f t="shared" si="11"/>
        <v>516880</v>
      </c>
      <c r="P12" s="461">
        <f>HK!AM10</f>
        <v>0</v>
      </c>
      <c r="Q12" s="462">
        <f>P12*F12</f>
        <v>0</v>
      </c>
      <c r="R12" s="463"/>
      <c r="S12" s="462">
        <f t="shared" si="2"/>
        <v>0</v>
      </c>
      <c r="T12" s="461">
        <f>HK!AO10</f>
        <v>0</v>
      </c>
      <c r="U12" s="464">
        <f t="shared" si="3"/>
        <v>0</v>
      </c>
      <c r="V12" s="464">
        <f t="shared" si="4"/>
        <v>31</v>
      </c>
      <c r="W12" s="464">
        <v>4200</v>
      </c>
      <c r="X12" s="464">
        <f>W12*V12</f>
        <v>130200</v>
      </c>
      <c r="Y12" s="461">
        <v>2500</v>
      </c>
      <c r="Z12" s="464">
        <f>E12</f>
        <v>25</v>
      </c>
      <c r="AA12" s="536">
        <f t="shared" si="7"/>
        <v>62500</v>
      </c>
      <c r="AB12" s="464">
        <v>2500</v>
      </c>
      <c r="AC12" s="464">
        <f>'MASA KERJA'!H12</f>
        <v>13</v>
      </c>
      <c r="AD12" s="536">
        <f>'MASA KERJA'!I12</f>
        <v>36500</v>
      </c>
      <c r="AE12" s="465">
        <f>LEMBUR!AJ18</f>
        <v>2151176.7599999998</v>
      </c>
      <c r="AF12" s="464"/>
      <c r="AG12" s="464"/>
      <c r="AH12" s="456">
        <f>G12+I12+K12+M12+O12+Q12+S12+U12+X12+AA12+AD12+AE12+AF12+AG12</f>
        <v>6386196.7599999998</v>
      </c>
      <c r="AI12" s="460">
        <f>(AI3+AD12)*0.02</f>
        <v>78262</v>
      </c>
      <c r="AJ12" s="460">
        <f>(AI3+AD12)*0.0454</f>
        <v>177654.74000000002</v>
      </c>
      <c r="AK12" s="464">
        <f>SUM(AJ12+AI12)</f>
        <v>255916.74000000002</v>
      </c>
      <c r="AL12" s="461">
        <f>(AI3+AD12)*1%</f>
        <v>39131</v>
      </c>
      <c r="AM12" s="461">
        <f>(AI3+AD12)*4%</f>
        <v>156524</v>
      </c>
      <c r="AN12" s="460">
        <f>(AI3+AD12)*1%</f>
        <v>39131</v>
      </c>
      <c r="AO12" s="460">
        <f>(AI3+AD12)*2%</f>
        <v>78262</v>
      </c>
      <c r="AP12" s="464">
        <f>SUM(AL12:AO12)</f>
        <v>313048</v>
      </c>
      <c r="AQ12" s="536">
        <v>4000</v>
      </c>
      <c r="AR12" s="536">
        <v>32878</v>
      </c>
      <c r="AS12" s="464"/>
      <c r="AT12" s="461">
        <f>SUM(AH12-AI12-AL12-AN12-AQ12-AR12-AS12)</f>
        <v>6192794.7599999998</v>
      </c>
      <c r="AU12" s="466">
        <f>HK!AQ10</f>
        <v>0</v>
      </c>
      <c r="AV12" s="397">
        <f>HK!AR10</f>
        <v>0</v>
      </c>
      <c r="AW12" s="382">
        <f>AU12*F12</f>
        <v>0</v>
      </c>
      <c r="AX12" s="382">
        <f>F12*AV12</f>
        <v>0</v>
      </c>
      <c r="AY12" s="382">
        <f t="shared" si="13"/>
        <v>0</v>
      </c>
      <c r="AZ12" s="383">
        <f>(V12*F12)+AW12+AX12</f>
        <v>4005820</v>
      </c>
      <c r="BA12" s="384">
        <f t="shared" si="15"/>
        <v>4005820</v>
      </c>
      <c r="BB12" s="384">
        <f t="shared" si="9"/>
        <v>0</v>
      </c>
      <c r="BC12" s="382">
        <f>X12+AA12+AD12+AE12+AG12</f>
        <v>2380376.7599999998</v>
      </c>
      <c r="BD12" s="385">
        <v>30575.999999999996</v>
      </c>
      <c r="BE12" s="386">
        <f t="shared" si="10"/>
        <v>187100</v>
      </c>
      <c r="BG12" s="385">
        <f>V12*F12</f>
        <v>4005820</v>
      </c>
    </row>
    <row r="13" spans="1:59" s="346" customFormat="1" ht="56.25" customHeight="1" thickBot="1">
      <c r="A13" s="595" t="s">
        <v>39</v>
      </c>
      <c r="B13" s="596"/>
      <c r="C13" s="596"/>
      <c r="D13" s="597"/>
      <c r="E13" s="398">
        <f>SUM(E8:E12)</f>
        <v>122</v>
      </c>
      <c r="F13" s="398">
        <f t="shared" ref="F13:AV13" si="16">SUM(F8:F12)</f>
        <v>646100</v>
      </c>
      <c r="G13" s="398">
        <f t="shared" si="16"/>
        <v>15764840</v>
      </c>
      <c r="H13" s="398">
        <f t="shared" si="16"/>
        <v>8</v>
      </c>
      <c r="I13" s="398">
        <f t="shared" si="16"/>
        <v>1033760</v>
      </c>
      <c r="J13" s="398">
        <f t="shared" si="16"/>
        <v>4</v>
      </c>
      <c r="K13" s="398">
        <f t="shared" si="16"/>
        <v>516880</v>
      </c>
      <c r="L13" s="398">
        <f t="shared" si="16"/>
        <v>0</v>
      </c>
      <c r="M13" s="398">
        <f t="shared" si="16"/>
        <v>0</v>
      </c>
      <c r="N13" s="398">
        <f t="shared" si="16"/>
        <v>20</v>
      </c>
      <c r="O13" s="398">
        <f t="shared" si="16"/>
        <v>2584400</v>
      </c>
      <c r="P13" s="398">
        <f t="shared" si="16"/>
        <v>0</v>
      </c>
      <c r="Q13" s="398">
        <f t="shared" si="16"/>
        <v>0</v>
      </c>
      <c r="R13" s="398">
        <f t="shared" si="16"/>
        <v>0</v>
      </c>
      <c r="S13" s="398">
        <f t="shared" si="16"/>
        <v>0</v>
      </c>
      <c r="T13" s="398">
        <f t="shared" si="16"/>
        <v>0</v>
      </c>
      <c r="U13" s="398">
        <f t="shared" si="16"/>
        <v>0</v>
      </c>
      <c r="V13" s="683">
        <f t="shared" si="16"/>
        <v>154</v>
      </c>
      <c r="W13" s="398">
        <f t="shared" si="16"/>
        <v>19500</v>
      </c>
      <c r="X13" s="398">
        <f t="shared" si="16"/>
        <v>601250</v>
      </c>
      <c r="Y13" s="398">
        <f t="shared" si="16"/>
        <v>12500</v>
      </c>
      <c r="Z13" s="398">
        <f t="shared" si="16"/>
        <v>122</v>
      </c>
      <c r="AA13" s="398">
        <f t="shared" si="16"/>
        <v>305000</v>
      </c>
      <c r="AB13" s="398">
        <f t="shared" si="16"/>
        <v>12500</v>
      </c>
      <c r="AC13" s="398">
        <f t="shared" si="16"/>
        <v>76</v>
      </c>
      <c r="AD13" s="398">
        <f t="shared" si="16"/>
        <v>225000</v>
      </c>
      <c r="AE13" s="683">
        <f t="shared" si="16"/>
        <v>8358218.04</v>
      </c>
      <c r="AF13" s="398">
        <f t="shared" si="16"/>
        <v>0</v>
      </c>
      <c r="AG13" s="683">
        <f t="shared" si="16"/>
        <v>400000</v>
      </c>
      <c r="AH13" s="398">
        <f t="shared" si="16"/>
        <v>29789348.039999999</v>
      </c>
      <c r="AI13" s="398">
        <f t="shared" si="16"/>
        <v>392160</v>
      </c>
      <c r="AJ13" s="398">
        <f>SUM(AJ8:AJ12)</f>
        <v>890203.20000000007</v>
      </c>
      <c r="AK13" s="398">
        <f t="shared" si="16"/>
        <v>1282363.2000000002</v>
      </c>
      <c r="AL13" s="398">
        <f t="shared" si="16"/>
        <v>196080</v>
      </c>
      <c r="AM13" s="398">
        <f t="shared" si="16"/>
        <v>784320</v>
      </c>
      <c r="AN13" s="398">
        <f t="shared" si="16"/>
        <v>196080</v>
      </c>
      <c r="AO13" s="398">
        <f t="shared" si="16"/>
        <v>392160</v>
      </c>
      <c r="AP13" s="398">
        <f t="shared" si="16"/>
        <v>1568640</v>
      </c>
      <c r="AQ13" s="683">
        <f t="shared" si="16"/>
        <v>20000</v>
      </c>
      <c r="AR13" s="683">
        <f t="shared" si="16"/>
        <v>78309</v>
      </c>
      <c r="AS13" s="398">
        <f>SUM(AS8:AS12)</f>
        <v>0</v>
      </c>
      <c r="AT13" s="683">
        <f>SUM(AT8:AT12)</f>
        <v>28906719.039999999</v>
      </c>
      <c r="AU13" s="398">
        <f t="shared" si="16"/>
        <v>0</v>
      </c>
      <c r="AV13" s="444">
        <f t="shared" si="16"/>
        <v>1</v>
      </c>
      <c r="AW13" s="445">
        <f>SUM(AW8:AW12)</f>
        <v>0</v>
      </c>
      <c r="AX13" s="445">
        <f t="shared" ref="AX13:AY13" si="17">SUM(AX8:AX12)</f>
        <v>129220</v>
      </c>
      <c r="AY13" s="445">
        <f t="shared" si="17"/>
        <v>-129220</v>
      </c>
      <c r="AZ13" s="347">
        <f>SUM(AZ8:AZ12)</f>
        <v>20029100</v>
      </c>
      <c r="BA13" s="347">
        <f>SUM(BA8:BA12)</f>
        <v>20158320</v>
      </c>
      <c r="BB13" s="347">
        <f t="shared" ref="BB13:BG13" si="18">SUM(BB8:BB12)</f>
        <v>-129220</v>
      </c>
      <c r="BC13" s="347">
        <f>SUM(BC8:BC12)</f>
        <v>9889468.0399999991</v>
      </c>
      <c r="BD13" s="347">
        <f t="shared" si="18"/>
        <v>152880</v>
      </c>
      <c r="BE13" s="347">
        <f t="shared" si="18"/>
        <v>937200</v>
      </c>
      <c r="BF13" s="347">
        <f t="shared" si="18"/>
        <v>0</v>
      </c>
      <c r="BG13" s="347">
        <f t="shared" si="18"/>
        <v>19899880</v>
      </c>
    </row>
    <row r="14" spans="1:59" s="402" customFormat="1" ht="25.5" customHeight="1">
      <c r="A14" s="399"/>
      <c r="B14" s="400"/>
      <c r="C14" s="400"/>
      <c r="D14" s="401"/>
      <c r="E14" s="399"/>
      <c r="F14" s="399"/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399"/>
      <c r="Y14" s="400"/>
      <c r="AA14" s="400"/>
      <c r="AB14" s="400"/>
      <c r="AC14" s="400"/>
      <c r="AD14" s="400"/>
      <c r="AE14" s="403"/>
      <c r="AF14" s="403"/>
      <c r="AG14" s="400"/>
      <c r="AH14" s="400"/>
      <c r="AI14" s="399"/>
      <c r="AJ14" s="399"/>
      <c r="AK14" s="399"/>
      <c r="AL14" s="399"/>
      <c r="AM14" s="399"/>
      <c r="AN14" s="399"/>
      <c r="AO14" s="399"/>
      <c r="AP14" s="399"/>
      <c r="AQ14" s="399"/>
      <c r="AR14" s="404">
        <f>'[2]PPH 21 JULI 25 '!$Y$11</f>
        <v>79237</v>
      </c>
      <c r="AS14" s="404">
        <v>169808</v>
      </c>
      <c r="AT14" s="404"/>
      <c r="AU14" s="399"/>
      <c r="AV14" s="399"/>
      <c r="AZ14" s="405"/>
      <c r="BA14" s="406">
        <f>BA13+BC13</f>
        <v>30047788.039999999</v>
      </c>
      <c r="BC14" s="405"/>
      <c r="BG14" s="406"/>
    </row>
    <row r="15" spans="1:59" s="410" customFormat="1" ht="20.25" customHeight="1">
      <c r="A15" s="407" t="s">
        <v>59</v>
      </c>
      <c r="B15" s="408"/>
      <c r="C15" s="408" t="s">
        <v>60</v>
      </c>
      <c r="D15" s="408"/>
      <c r="E15" s="408"/>
      <c r="F15" s="408"/>
      <c r="G15" s="409"/>
      <c r="H15" s="526" t="s">
        <v>42</v>
      </c>
      <c r="J15" s="408"/>
      <c r="K15" s="408"/>
      <c r="L15" s="408"/>
      <c r="M15" s="408"/>
      <c r="N15" s="408"/>
      <c r="O15" s="576" t="s">
        <v>128</v>
      </c>
      <c r="P15" s="576"/>
      <c r="Q15" s="576"/>
      <c r="R15" s="408"/>
      <c r="S15" s="408"/>
      <c r="T15" s="408"/>
      <c r="U15" s="408"/>
      <c r="V15" s="411"/>
      <c r="X15" s="408"/>
      <c r="Y15" s="576" t="s">
        <v>174</v>
      </c>
      <c r="Z15" s="576"/>
      <c r="AA15" s="576"/>
      <c r="AB15" s="576"/>
      <c r="AC15" s="408"/>
      <c r="AD15" s="408"/>
      <c r="AE15" s="411"/>
      <c r="AF15" s="408"/>
      <c r="AG15" s="408"/>
      <c r="AH15" s="412"/>
      <c r="AI15" s="576" t="s">
        <v>61</v>
      </c>
      <c r="AJ15" s="576"/>
      <c r="AK15" s="576"/>
      <c r="AL15" s="576"/>
      <c r="AM15" s="413"/>
      <c r="AN15" s="526"/>
      <c r="AO15" s="526"/>
      <c r="AP15" s="526"/>
      <c r="AQ15" s="408"/>
      <c r="AR15" s="414">
        <f>AR13-AR14</f>
        <v>-928</v>
      </c>
      <c r="AS15" s="414">
        <f>AS13-AS14</f>
        <v>-169808</v>
      </c>
      <c r="AT15" s="415"/>
      <c r="AU15" s="408"/>
      <c r="AV15" s="416"/>
      <c r="AZ15" s="417"/>
      <c r="BA15" s="418">
        <f>AH13</f>
        <v>29789348.039999999</v>
      </c>
      <c r="BC15" s="417"/>
    </row>
    <row r="16" spans="1:59" s="422" customFormat="1" ht="27.75" customHeight="1">
      <c r="A16" s="346"/>
      <c r="B16" s="408"/>
      <c r="C16" s="419" t="s">
        <v>102</v>
      </c>
      <c r="D16" s="346"/>
      <c r="E16" s="420"/>
      <c r="F16" s="420"/>
      <c r="G16" s="421"/>
      <c r="H16" s="420"/>
      <c r="I16" s="346"/>
      <c r="J16" s="346"/>
      <c r="K16" s="346"/>
      <c r="L16" s="346"/>
      <c r="M16" s="346"/>
      <c r="N16" s="525"/>
      <c r="O16" s="525"/>
      <c r="P16" s="421"/>
      <c r="Q16" s="421"/>
      <c r="R16" s="421"/>
      <c r="S16" s="346"/>
      <c r="T16" s="346"/>
      <c r="U16" s="346"/>
      <c r="V16" s="346"/>
      <c r="Y16" s="346"/>
      <c r="Z16" s="423"/>
      <c r="AA16" s="346"/>
      <c r="AB16" s="346"/>
      <c r="AC16" s="574"/>
      <c r="AD16" s="574"/>
      <c r="AE16" s="346"/>
      <c r="AF16" s="346"/>
      <c r="AG16" s="346"/>
      <c r="AH16" s="424"/>
      <c r="AI16" s="346"/>
      <c r="AL16" s="423"/>
      <c r="AP16" s="423"/>
      <c r="AQ16" s="425"/>
      <c r="AR16" s="426"/>
      <c r="AS16" s="426"/>
      <c r="AT16" s="427"/>
      <c r="AU16" s="428"/>
      <c r="AV16" s="429"/>
      <c r="AZ16" s="430"/>
      <c r="BA16" s="431">
        <f>BA14-BA15</f>
        <v>258440</v>
      </c>
      <c r="BC16" s="430"/>
    </row>
    <row r="17" spans="1:55" s="422" customFormat="1" ht="27.75" customHeight="1">
      <c r="A17" s="346"/>
      <c r="B17" s="408"/>
      <c r="C17" s="419"/>
      <c r="D17" s="346"/>
      <c r="E17" s="346"/>
      <c r="F17" s="346"/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428"/>
      <c r="R17" s="346"/>
      <c r="S17" s="346"/>
      <c r="T17" s="346"/>
      <c r="U17" s="346"/>
      <c r="V17" s="346"/>
      <c r="Y17" s="354"/>
      <c r="Z17" s="423"/>
      <c r="AA17" s="346"/>
      <c r="AB17" s="346"/>
      <c r="AC17" s="346"/>
      <c r="AD17" s="346"/>
      <c r="AE17" s="346"/>
      <c r="AF17" s="346"/>
      <c r="AG17" s="354"/>
      <c r="AH17" s="432"/>
      <c r="AI17" s="354"/>
      <c r="AL17" s="423"/>
      <c r="AQ17" s="346"/>
      <c r="AR17" s="433"/>
      <c r="AS17" s="433"/>
      <c r="AT17" s="433"/>
      <c r="AU17" s="346"/>
      <c r="AV17" s="525"/>
      <c r="AZ17" s="430"/>
      <c r="BC17" s="430"/>
    </row>
    <row r="18" spans="1:55" s="422" customFormat="1" ht="27.75" customHeight="1">
      <c r="E18" s="346"/>
      <c r="F18" s="346"/>
      <c r="G18" s="346"/>
      <c r="H18" s="346"/>
      <c r="I18" s="434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X18" s="432"/>
      <c r="Y18" s="435" t="s">
        <v>104</v>
      </c>
      <c r="AB18" s="346"/>
      <c r="AC18" s="346"/>
      <c r="AD18" s="346"/>
      <c r="AE18" s="346"/>
      <c r="AF18" s="346"/>
      <c r="AG18" s="435"/>
      <c r="AH18" s="432"/>
      <c r="AI18" s="435"/>
      <c r="AJ18" s="432"/>
      <c r="AQ18" s="346"/>
      <c r="AR18" s="346"/>
      <c r="AS18" s="346"/>
      <c r="AT18" s="428"/>
      <c r="AU18" s="346"/>
      <c r="AV18" s="525"/>
      <c r="AZ18" s="430"/>
      <c r="BC18" s="430"/>
    </row>
    <row r="19" spans="1:55" s="422" customFormat="1" ht="18.75" customHeight="1">
      <c r="E19" s="436"/>
      <c r="F19" s="409"/>
      <c r="G19" s="577" t="s">
        <v>100</v>
      </c>
      <c r="H19" s="577"/>
      <c r="I19" s="577"/>
      <c r="K19" s="437"/>
      <c r="L19" s="437"/>
      <c r="M19" s="437"/>
      <c r="N19" s="438"/>
      <c r="O19" s="578" t="s">
        <v>202</v>
      </c>
      <c r="P19" s="578"/>
      <c r="Q19" s="578"/>
      <c r="S19" s="439"/>
      <c r="T19" s="439"/>
      <c r="U19" s="439"/>
      <c r="V19" s="437"/>
      <c r="X19" s="441"/>
      <c r="Y19" s="579" t="s">
        <v>173</v>
      </c>
      <c r="Z19" s="579"/>
      <c r="AA19" s="579"/>
      <c r="AB19" s="579"/>
      <c r="AC19" s="439"/>
      <c r="AD19" s="439"/>
      <c r="AE19" s="439"/>
      <c r="AF19" s="439"/>
      <c r="AG19" s="439"/>
      <c r="AH19" s="440"/>
      <c r="AI19" s="579" t="s">
        <v>158</v>
      </c>
      <c r="AJ19" s="579"/>
      <c r="AK19" s="579"/>
      <c r="AL19" s="579"/>
      <c r="AM19" s="441"/>
      <c r="AN19" s="442"/>
      <c r="AO19" s="442"/>
      <c r="AP19" s="442"/>
      <c r="AQ19" s="575"/>
      <c r="AR19" s="575"/>
      <c r="AS19" s="575"/>
      <c r="AT19" s="572"/>
      <c r="AU19" s="572"/>
      <c r="AV19" s="525"/>
      <c r="AZ19" s="430"/>
      <c r="BC19" s="430"/>
    </row>
    <row r="20" spans="1:55" s="422" customFormat="1" ht="18.75" customHeight="1">
      <c r="E20" s="346"/>
      <c r="F20" s="346"/>
      <c r="G20" s="573" t="s">
        <v>40</v>
      </c>
      <c r="H20" s="573"/>
      <c r="I20" s="573"/>
      <c r="K20" s="346"/>
      <c r="L20" s="346"/>
      <c r="M20" s="346"/>
      <c r="N20" s="346"/>
      <c r="O20" s="574" t="s">
        <v>205</v>
      </c>
      <c r="P20" s="574"/>
      <c r="Q20" s="574"/>
      <c r="S20" s="346"/>
      <c r="T20" s="346"/>
      <c r="U20" s="346"/>
      <c r="V20" s="346"/>
      <c r="X20" s="346"/>
      <c r="Y20" s="574" t="s">
        <v>175</v>
      </c>
      <c r="Z20" s="574"/>
      <c r="AA20" s="574"/>
      <c r="AB20" s="574"/>
      <c r="AC20" s="346"/>
      <c r="AD20" s="346"/>
      <c r="AE20" s="346"/>
      <c r="AF20" s="346"/>
      <c r="AG20" s="346"/>
      <c r="AH20" s="346"/>
      <c r="AI20" s="574" t="s">
        <v>159</v>
      </c>
      <c r="AJ20" s="574"/>
      <c r="AK20" s="574"/>
      <c r="AL20" s="574"/>
      <c r="AM20" s="525"/>
      <c r="AN20" s="525"/>
      <c r="AO20" s="525"/>
      <c r="AP20" s="525"/>
      <c r="AQ20" s="574"/>
      <c r="AR20" s="574"/>
      <c r="AS20" s="574"/>
      <c r="AT20" s="574"/>
      <c r="AU20" s="574"/>
      <c r="AV20" s="525"/>
      <c r="AZ20" s="430"/>
      <c r="BC20" s="430"/>
    </row>
    <row r="21" spans="1:55" ht="15">
      <c r="D21" s="385"/>
    </row>
    <row r="22" spans="1:55" ht="15">
      <c r="D22" s="385"/>
    </row>
    <row r="23" spans="1:55" ht="15">
      <c r="D23" s="385"/>
    </row>
    <row r="24" spans="1:55" ht="15">
      <c r="D24" s="385"/>
    </row>
    <row r="25" spans="1:55" ht="15">
      <c r="D25" s="385"/>
    </row>
    <row r="26" spans="1:55" ht="15">
      <c r="D26" s="385"/>
      <c r="F26" s="446"/>
    </row>
    <row r="27" spans="1:55" ht="15">
      <c r="D27" s="385"/>
    </row>
    <row r="28" spans="1:55" ht="15">
      <c r="D28" s="385"/>
    </row>
    <row r="29" spans="1:55" ht="15">
      <c r="D29" s="385"/>
    </row>
    <row r="30" spans="1:55" ht="15">
      <c r="D30" s="385"/>
    </row>
    <row r="31" spans="1:55" ht="15">
      <c r="D31" s="385"/>
    </row>
    <row r="32" spans="1:55" ht="15">
      <c r="D32" s="385"/>
    </row>
    <row r="33" spans="4:46" ht="15">
      <c r="D33" s="385"/>
    </row>
    <row r="34" spans="4:46" ht="15">
      <c r="D34" s="385"/>
    </row>
    <row r="35" spans="4:46" ht="15">
      <c r="D35" s="385"/>
    </row>
    <row r="36" spans="4:46" ht="15">
      <c r="D36" s="385"/>
      <c r="AT36" s="356"/>
    </row>
    <row r="37" spans="4:46">
      <c r="AT37" s="356"/>
    </row>
    <row r="38" spans="4:46">
      <c r="AD38" s="443"/>
      <c r="AT38" s="356"/>
    </row>
    <row r="39" spans="4:46">
      <c r="AT39" s="356"/>
    </row>
    <row r="40" spans="4:46">
      <c r="AT40" s="356"/>
    </row>
    <row r="41" spans="4:46">
      <c r="AT41" s="356"/>
    </row>
  </sheetData>
  <mergeCells count="51">
    <mergeCell ref="H5:I5"/>
    <mergeCell ref="J5:K5"/>
    <mergeCell ref="R5:S5"/>
    <mergeCell ref="A13:D13"/>
    <mergeCell ref="A1:AV1"/>
    <mergeCell ref="A2:AV2"/>
    <mergeCell ref="B4:B7"/>
    <mergeCell ref="C4:C7"/>
    <mergeCell ref="H4:U4"/>
    <mergeCell ref="W4:AD4"/>
    <mergeCell ref="AE4:AE6"/>
    <mergeCell ref="AF4:AF6"/>
    <mergeCell ref="AG4:AG6"/>
    <mergeCell ref="AI4:AK5"/>
    <mergeCell ref="AL4:AP5"/>
    <mergeCell ref="AR4:AR7"/>
    <mergeCell ref="AS4:AS7"/>
    <mergeCell ref="AU4:AV5"/>
    <mergeCell ref="T5:U5"/>
    <mergeCell ref="W5:X5"/>
    <mergeCell ref="Y5:AA5"/>
    <mergeCell ref="AB5:AD5"/>
    <mergeCell ref="V4:V7"/>
    <mergeCell ref="H6:I6"/>
    <mergeCell ref="J6:K6"/>
    <mergeCell ref="L6:M6"/>
    <mergeCell ref="N6:O6"/>
    <mergeCell ref="P6:Q6"/>
    <mergeCell ref="R6:S6"/>
    <mergeCell ref="T6:U6"/>
    <mergeCell ref="Z6:AA6"/>
    <mergeCell ref="AC6:AD6"/>
    <mergeCell ref="L5:M5"/>
    <mergeCell ref="N5:O5"/>
    <mergeCell ref="P5:Q5"/>
    <mergeCell ref="AI15:AL15"/>
    <mergeCell ref="AC16:AD16"/>
    <mergeCell ref="G19:I19"/>
    <mergeCell ref="O19:Q19"/>
    <mergeCell ref="AI19:AL19"/>
    <mergeCell ref="O15:Q15"/>
    <mergeCell ref="Y19:AB19"/>
    <mergeCell ref="Y15:AB15"/>
    <mergeCell ref="AT19:AU19"/>
    <mergeCell ref="G20:I20"/>
    <mergeCell ref="O20:Q20"/>
    <mergeCell ref="AI20:AL20"/>
    <mergeCell ref="AQ20:AS20"/>
    <mergeCell ref="AT20:AU20"/>
    <mergeCell ref="AQ19:AS19"/>
    <mergeCell ref="Y20:AB20"/>
  </mergeCells>
  <printOptions horizontalCentered="1"/>
  <pageMargins left="0" right="0" top="0" bottom="0" header="0" footer="0"/>
  <pageSetup paperSize="10000" scale="29" fitToHeight="0" orientation="landscape" horizontalDpi="4294967293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zoomScaleNormal="100" workbookViewId="0">
      <selection activeCell="H10" sqref="H10"/>
    </sheetView>
  </sheetViews>
  <sheetFormatPr defaultRowHeight="14.25"/>
  <cols>
    <col min="1" max="1" width="8.7109375" style="477" customWidth="1"/>
    <col min="2" max="2" width="20.5703125" style="477" customWidth="1"/>
    <col min="3" max="3" width="25.5703125" style="477" customWidth="1"/>
    <col min="4" max="4" width="7.28515625" style="472" customWidth="1"/>
    <col min="5" max="5" width="32.5703125" style="477" customWidth="1"/>
    <col min="6" max="16384" width="9.140625" style="477"/>
  </cols>
  <sheetData>
    <row r="1" spans="1:5" s="467" customFormat="1" ht="22.5">
      <c r="A1" s="612" t="s">
        <v>41</v>
      </c>
      <c r="B1" s="612"/>
      <c r="C1" s="612"/>
      <c r="D1" s="612"/>
      <c r="E1" s="612"/>
    </row>
    <row r="2" spans="1:5" s="467" customFormat="1" ht="22.5">
      <c r="A2" s="612" t="s">
        <v>160</v>
      </c>
      <c r="B2" s="612"/>
      <c r="C2" s="612"/>
      <c r="D2" s="612"/>
      <c r="E2" s="612"/>
    </row>
    <row r="3" spans="1:5" s="467" customFormat="1" ht="22.5">
      <c r="A3" s="612" t="s">
        <v>216</v>
      </c>
      <c r="B3" s="612"/>
      <c r="C3" s="612"/>
      <c r="D3" s="612"/>
      <c r="E3" s="612"/>
    </row>
    <row r="4" spans="1:5" s="467" customFormat="1" ht="18.75" customHeight="1" thickBot="1">
      <c r="A4" s="468"/>
      <c r="B4" s="468"/>
      <c r="C4" s="468"/>
      <c r="D4" s="468"/>
      <c r="E4" s="468"/>
    </row>
    <row r="5" spans="1:5" s="472" customFormat="1" ht="32.25" customHeight="1" thickBot="1">
      <c r="A5" s="469" t="s">
        <v>9</v>
      </c>
      <c r="B5" s="470" t="s">
        <v>161</v>
      </c>
      <c r="C5" s="470" t="s">
        <v>162</v>
      </c>
      <c r="D5" s="470" t="s">
        <v>4</v>
      </c>
      <c r="E5" s="471" t="s">
        <v>163</v>
      </c>
    </row>
    <row r="6" spans="1:5" ht="62.25" customHeight="1">
      <c r="A6" s="473">
        <v>1</v>
      </c>
      <c r="B6" s="447" t="s">
        <v>164</v>
      </c>
      <c r="C6" s="474">
        <f>'GAJI OKTOBER 2025'!AT8</f>
        <v>6165094.7599999998</v>
      </c>
      <c r="D6" s="475" t="s">
        <v>193</v>
      </c>
      <c r="E6" s="476" t="s">
        <v>36</v>
      </c>
    </row>
    <row r="7" spans="1:5" ht="62.25" customHeight="1">
      <c r="A7" s="478">
        <v>2</v>
      </c>
      <c r="B7" s="448" t="s">
        <v>165</v>
      </c>
      <c r="C7" s="479">
        <f>'GAJI OKTOBER 2025'!AT9</f>
        <v>5661512.2999999998</v>
      </c>
      <c r="D7" s="480" t="s">
        <v>194</v>
      </c>
      <c r="E7" s="481" t="s">
        <v>37</v>
      </c>
    </row>
    <row r="8" spans="1:5" ht="62.25" customHeight="1">
      <c r="A8" s="478">
        <v>3</v>
      </c>
      <c r="B8" s="449" t="s">
        <v>166</v>
      </c>
      <c r="C8" s="479">
        <f>'GAJI OKTOBER 2025'!AT10</f>
        <v>5379089.3399999999</v>
      </c>
      <c r="D8" s="480" t="s">
        <v>195</v>
      </c>
      <c r="E8" s="481" t="s">
        <v>38</v>
      </c>
    </row>
    <row r="9" spans="1:5" ht="62.25" customHeight="1">
      <c r="A9" s="478">
        <v>4</v>
      </c>
      <c r="B9" s="482" t="s">
        <v>167</v>
      </c>
      <c r="C9" s="479">
        <f>'GAJI OKTOBER 2025'!AT11</f>
        <v>5508227.8799999999</v>
      </c>
      <c r="D9" s="480" t="s">
        <v>196</v>
      </c>
      <c r="E9" s="481" t="s">
        <v>99</v>
      </c>
    </row>
    <row r="10" spans="1:5" ht="62.25" customHeight="1" thickBot="1">
      <c r="A10" s="483">
        <v>5</v>
      </c>
      <c r="B10" s="484" t="s">
        <v>168</v>
      </c>
      <c r="C10" s="485">
        <f>'GAJI OKTOBER 2025'!AT12</f>
        <v>6192794.7599999998</v>
      </c>
      <c r="D10" s="486" t="s">
        <v>197</v>
      </c>
      <c r="E10" s="487" t="s">
        <v>129</v>
      </c>
    </row>
    <row r="11" spans="1:5" ht="41.25" customHeight="1" thickBot="1">
      <c r="A11" s="614" t="s">
        <v>39</v>
      </c>
      <c r="B11" s="615"/>
      <c r="C11" s="488">
        <f>SUM(C6:C10)</f>
        <v>28906719.039999999</v>
      </c>
      <c r="D11" s="489"/>
      <c r="E11" s="490"/>
    </row>
    <row r="12" spans="1:5" ht="15" customHeight="1">
      <c r="A12" s="492"/>
      <c r="B12" s="492"/>
      <c r="C12" s="493">
        <f>'GAJI OKTOBER 2025'!AT13</f>
        <v>28906719.039999999</v>
      </c>
      <c r="D12" s="494"/>
      <c r="E12" s="492"/>
    </row>
    <row r="13" spans="1:5" ht="15" customHeight="1">
      <c r="A13" s="495"/>
      <c r="B13" s="495"/>
      <c r="C13" s="493">
        <f>C11-C12</f>
        <v>0</v>
      </c>
      <c r="D13" s="496"/>
      <c r="E13" s="491"/>
    </row>
    <row r="14" spans="1:5" ht="15" customHeight="1">
      <c r="A14" s="611" t="s">
        <v>169</v>
      </c>
      <c r="B14" s="611"/>
      <c r="C14" s="611" t="s">
        <v>174</v>
      </c>
      <c r="D14" s="611"/>
      <c r="E14" s="472" t="s">
        <v>200</v>
      </c>
    </row>
    <row r="15" spans="1:5" ht="15" customHeight="1">
      <c r="A15" s="495"/>
      <c r="C15" s="495"/>
      <c r="E15" s="472"/>
    </row>
    <row r="16" spans="1:5" ht="18.75" customHeight="1">
      <c r="A16" s="495"/>
      <c r="C16" s="495"/>
      <c r="E16" s="472"/>
    </row>
    <row r="17" spans="1:5">
      <c r="A17" s="495"/>
      <c r="C17" s="495"/>
      <c r="E17" s="472"/>
    </row>
    <row r="18" spans="1:5">
      <c r="A18" s="617" t="s">
        <v>100</v>
      </c>
      <c r="B18" s="617"/>
      <c r="C18" s="617" t="s">
        <v>173</v>
      </c>
      <c r="D18" s="617"/>
      <c r="E18" s="497" t="s">
        <v>158</v>
      </c>
    </row>
    <row r="19" spans="1:5" s="499" customFormat="1">
      <c r="A19" s="616" t="s">
        <v>170</v>
      </c>
      <c r="B19" s="616"/>
      <c r="C19" s="616" t="s">
        <v>175</v>
      </c>
      <c r="D19" s="616"/>
      <c r="E19" s="498" t="s">
        <v>206</v>
      </c>
    </row>
    <row r="20" spans="1:5">
      <c r="A20" s="472"/>
    </row>
    <row r="21" spans="1:5">
      <c r="A21" s="495"/>
      <c r="B21" s="495"/>
      <c r="C21" s="495"/>
      <c r="D21" s="495"/>
      <c r="E21" s="491"/>
    </row>
    <row r="22" spans="1:5">
      <c r="A22" s="472"/>
      <c r="B22" s="472"/>
      <c r="C22" s="472"/>
    </row>
    <row r="23" spans="1:5">
      <c r="A23" s="472"/>
      <c r="B23" s="472"/>
      <c r="C23" s="472"/>
    </row>
    <row r="24" spans="1:5">
      <c r="A24" s="613"/>
      <c r="B24" s="613"/>
      <c r="C24" s="472"/>
    </row>
    <row r="25" spans="1:5">
      <c r="A25" s="611"/>
      <c r="B25" s="611"/>
      <c r="C25" s="495"/>
    </row>
    <row r="26" spans="1:5">
      <c r="A26" s="491"/>
      <c r="B26" s="491"/>
      <c r="C26" s="491"/>
      <c r="D26" s="495"/>
      <c r="E26" s="491"/>
    </row>
    <row r="27" spans="1:5">
      <c r="A27" s="491"/>
      <c r="B27" s="491"/>
      <c r="C27" s="491"/>
      <c r="D27" s="495"/>
      <c r="E27" s="491"/>
    </row>
    <row r="28" spans="1:5">
      <c r="A28" s="491"/>
      <c r="B28" s="491"/>
      <c r="C28" s="491"/>
      <c r="D28" s="495"/>
      <c r="E28" s="491"/>
    </row>
    <row r="29" spans="1:5">
      <c r="A29" s="491"/>
      <c r="B29" s="491"/>
      <c r="C29" s="491"/>
      <c r="D29" s="495"/>
      <c r="E29" s="491"/>
    </row>
    <row r="30" spans="1:5">
      <c r="A30" s="491"/>
      <c r="B30" s="491"/>
      <c r="C30" s="491"/>
      <c r="D30" s="495"/>
      <c r="E30" s="491"/>
    </row>
    <row r="31" spans="1:5">
      <c r="A31" s="491"/>
      <c r="B31" s="491"/>
      <c r="C31" s="491"/>
      <c r="D31" s="495"/>
      <c r="E31" s="491"/>
    </row>
    <row r="32" spans="1:5">
      <c r="A32" s="491"/>
      <c r="B32" s="491"/>
      <c r="C32" s="491"/>
      <c r="D32" s="495"/>
      <c r="E32" s="491"/>
    </row>
    <row r="33" spans="1:5">
      <c r="A33" s="491"/>
      <c r="B33" s="491"/>
      <c r="C33" s="491"/>
      <c r="D33" s="495"/>
      <c r="E33" s="491"/>
    </row>
    <row r="34" spans="1:5">
      <c r="A34" s="491"/>
      <c r="B34" s="491"/>
      <c r="C34" s="491"/>
      <c r="D34" s="495"/>
      <c r="E34" s="491"/>
    </row>
  </sheetData>
  <mergeCells count="12">
    <mergeCell ref="C14:D14"/>
    <mergeCell ref="A1:E1"/>
    <mergeCell ref="A24:B24"/>
    <mergeCell ref="A25:B25"/>
    <mergeCell ref="A11:B11"/>
    <mergeCell ref="A3:E3"/>
    <mergeCell ref="A2:E2"/>
    <mergeCell ref="A19:B19"/>
    <mergeCell ref="A18:B18"/>
    <mergeCell ref="A14:B14"/>
    <mergeCell ref="C19:D19"/>
    <mergeCell ref="C18:D18"/>
  </mergeCells>
  <printOptions horizontalCentered="1"/>
  <pageMargins left="0.70866141732283472" right="0.70866141732283472" top="0.39370078740157483" bottom="0.74803149606299213" header="0.31496062992125984" footer="0.31496062992125984"/>
  <pageSetup paperSize="9" scale="73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"/>
  <sheetViews>
    <sheetView zoomScale="90" zoomScaleNormal="9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K20" sqref="K20"/>
    </sheetView>
  </sheetViews>
  <sheetFormatPr defaultRowHeight="15"/>
  <cols>
    <col min="1" max="1" width="4.5703125" style="271" customWidth="1"/>
    <col min="2" max="2" width="8" style="271" customWidth="1"/>
    <col min="3" max="3" width="22.5703125" style="272" customWidth="1"/>
    <col min="4" max="4" width="12.7109375" style="271" customWidth="1"/>
    <col min="5" max="5" width="12.28515625" style="271" customWidth="1"/>
    <col min="6" max="6" width="14" style="506" customWidth="1"/>
    <col min="7" max="7" width="12.5703125" style="271" customWidth="1"/>
    <col min="8" max="8" width="13.7109375" style="271" customWidth="1"/>
    <col min="9" max="25" width="11.140625" style="271" customWidth="1"/>
    <col min="26" max="26" width="10.85546875" style="271" customWidth="1"/>
    <col min="27" max="27" width="10.42578125" style="271" customWidth="1"/>
    <col min="28" max="28" width="9.140625" style="271"/>
    <col min="29" max="29" width="11" style="271" bestFit="1" customWidth="1"/>
    <col min="30" max="65" width="9.140625" style="271"/>
    <col min="66" max="67" width="10.85546875" style="271" bestFit="1" customWidth="1"/>
    <col min="68" max="16384" width="9.140625" style="271"/>
  </cols>
  <sheetData>
    <row r="1" spans="1:29">
      <c r="A1" s="271" t="s">
        <v>176</v>
      </c>
    </row>
    <row r="2" spans="1:29">
      <c r="A2" s="342" t="s">
        <v>208</v>
      </c>
    </row>
    <row r="4" spans="1:29" ht="21">
      <c r="A4" s="618" t="s">
        <v>177</v>
      </c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  <c r="T4" s="618"/>
      <c r="U4" s="618"/>
      <c r="V4" s="618"/>
      <c r="W4" s="618"/>
      <c r="X4" s="618"/>
      <c r="Y4" s="618"/>
    </row>
    <row r="5" spans="1:29" ht="21.75" thickBot="1">
      <c r="A5" s="619" t="s">
        <v>178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</row>
    <row r="6" spans="1:29">
      <c r="A6" s="620" t="s">
        <v>106</v>
      </c>
      <c r="B6" s="622" t="s">
        <v>179</v>
      </c>
      <c r="C6" s="624" t="s">
        <v>51</v>
      </c>
      <c r="D6" s="626" t="s">
        <v>180</v>
      </c>
      <c r="E6" s="626" t="s">
        <v>181</v>
      </c>
      <c r="F6" s="628" t="s">
        <v>182</v>
      </c>
      <c r="G6" s="630" t="s">
        <v>183</v>
      </c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/>
      <c r="U6" s="631"/>
      <c r="V6" s="631"/>
      <c r="W6" s="631"/>
      <c r="X6" s="632"/>
      <c r="Y6" s="633" t="s">
        <v>184</v>
      </c>
    </row>
    <row r="7" spans="1:29">
      <c r="A7" s="621"/>
      <c r="B7" s="623"/>
      <c r="C7" s="625"/>
      <c r="D7" s="627"/>
      <c r="E7" s="627"/>
      <c r="F7" s="629"/>
      <c r="G7" s="636" t="s">
        <v>33</v>
      </c>
      <c r="H7" s="637"/>
      <c r="I7" s="638"/>
      <c r="J7" s="636" t="s">
        <v>185</v>
      </c>
      <c r="K7" s="637"/>
      <c r="L7" s="638"/>
      <c r="M7" s="636" t="s">
        <v>19</v>
      </c>
      <c r="N7" s="637"/>
      <c r="O7" s="638"/>
      <c r="P7" s="636" t="s">
        <v>186</v>
      </c>
      <c r="Q7" s="637"/>
      <c r="R7" s="638"/>
      <c r="S7" s="636" t="s">
        <v>187</v>
      </c>
      <c r="T7" s="637"/>
      <c r="U7" s="638"/>
      <c r="V7" s="639" t="s">
        <v>188</v>
      </c>
      <c r="W7" s="640"/>
      <c r="X7" s="641"/>
      <c r="Y7" s="634"/>
    </row>
    <row r="8" spans="1:29" ht="15.75" thickBot="1">
      <c r="A8" s="621"/>
      <c r="B8" s="623"/>
      <c r="C8" s="625"/>
      <c r="D8" s="627"/>
      <c r="E8" s="627"/>
      <c r="F8" s="629"/>
      <c r="G8" s="273" t="s">
        <v>189</v>
      </c>
      <c r="H8" s="273" t="s">
        <v>190</v>
      </c>
      <c r="I8" s="274" t="s">
        <v>191</v>
      </c>
      <c r="J8" s="273" t="s">
        <v>189</v>
      </c>
      <c r="K8" s="273" t="s">
        <v>190</v>
      </c>
      <c r="L8" s="274" t="s">
        <v>191</v>
      </c>
      <c r="M8" s="273" t="s">
        <v>189</v>
      </c>
      <c r="N8" s="273" t="s">
        <v>190</v>
      </c>
      <c r="O8" s="274" t="s">
        <v>191</v>
      </c>
      <c r="P8" s="273" t="s">
        <v>189</v>
      </c>
      <c r="Q8" s="273" t="s">
        <v>190</v>
      </c>
      <c r="R8" s="274" t="s">
        <v>191</v>
      </c>
      <c r="S8" s="273" t="s">
        <v>189</v>
      </c>
      <c r="T8" s="273" t="s">
        <v>190</v>
      </c>
      <c r="U8" s="274" t="s">
        <v>191</v>
      </c>
      <c r="V8" s="273" t="s">
        <v>189</v>
      </c>
      <c r="W8" s="273" t="s">
        <v>190</v>
      </c>
      <c r="X8" s="274" t="s">
        <v>191</v>
      </c>
      <c r="Y8" s="634"/>
    </row>
    <row r="9" spans="1:29" ht="15.75" thickBot="1">
      <c r="A9" s="642" t="s">
        <v>192</v>
      </c>
      <c r="B9" s="643"/>
      <c r="C9" s="643"/>
      <c r="D9" s="643"/>
      <c r="E9" s="643"/>
      <c r="F9" s="507"/>
      <c r="G9" s="275"/>
      <c r="H9" s="275"/>
      <c r="I9" s="276"/>
      <c r="J9" s="275"/>
      <c r="K9" s="275"/>
      <c r="L9" s="276"/>
      <c r="M9" s="275"/>
      <c r="N9" s="275"/>
      <c r="O9" s="276"/>
      <c r="P9" s="275"/>
      <c r="Q9" s="275"/>
      <c r="R9" s="276"/>
      <c r="S9" s="275"/>
      <c r="T9" s="275"/>
      <c r="U9" s="275"/>
      <c r="V9" s="275"/>
      <c r="W9" s="275"/>
      <c r="X9" s="276"/>
      <c r="Y9" s="277"/>
      <c r="Z9" s="278">
        <f t="shared" ref="Z9:Z14" si="0">F9-Y9</f>
        <v>0</v>
      </c>
      <c r="AA9" s="278">
        <f t="shared" ref="AA9:AA16" si="1">F9-Y9</f>
        <v>0</v>
      </c>
    </row>
    <row r="10" spans="1:29">
      <c r="A10" s="279">
        <v>1</v>
      </c>
      <c r="B10" s="280" t="s">
        <v>193</v>
      </c>
      <c r="C10" s="281" t="str">
        <f>'[3]DESEMBER 2024'!D8</f>
        <v>YOS SISWANTO</v>
      </c>
      <c r="D10" s="282">
        <f>'GAJI OKTOBER 2025'!AT8</f>
        <v>6165094.7599999998</v>
      </c>
      <c r="E10" s="283">
        <v>6253398.7000000002</v>
      </c>
      <c r="F10" s="531">
        <f>E10-D10</f>
        <v>88303.94000000041</v>
      </c>
      <c r="G10" s="516"/>
      <c r="H10" s="282"/>
      <c r="I10" s="284">
        <f t="shared" ref="I10:I14" si="2">G10-H10</f>
        <v>0</v>
      </c>
      <c r="J10" s="282"/>
      <c r="K10" s="285"/>
      <c r="L10" s="284">
        <f t="shared" ref="L10:L14" si="3">J10-K10</f>
        <v>0</v>
      </c>
      <c r="M10" s="286"/>
      <c r="N10" s="282"/>
      <c r="O10" s="284"/>
      <c r="P10" s="282"/>
      <c r="Q10" s="282"/>
      <c r="R10" s="284">
        <f t="shared" ref="R10:R14" si="4">P10-Q10</f>
        <v>0</v>
      </c>
      <c r="S10" s="282"/>
      <c r="T10" s="282"/>
      <c r="U10" s="284">
        <f t="shared" ref="U10:U14" si="5">S10-T10</f>
        <v>0</v>
      </c>
      <c r="V10" s="282"/>
      <c r="W10" s="282"/>
      <c r="X10" s="287">
        <f t="shared" ref="X10:X14" si="6">-(V10-W10)</f>
        <v>0</v>
      </c>
      <c r="Y10" s="288">
        <f t="shared" ref="Y10:Y14" si="7">I10+L10+O10+R10+U10+X10</f>
        <v>0</v>
      </c>
      <c r="Z10" s="278">
        <f t="shared" si="0"/>
        <v>88303.94000000041</v>
      </c>
      <c r="AA10" s="278">
        <f t="shared" si="1"/>
        <v>88303.94000000041</v>
      </c>
    </row>
    <row r="11" spans="1:29">
      <c r="A11" s="289">
        <v>2</v>
      </c>
      <c r="B11" s="290" t="s">
        <v>194</v>
      </c>
      <c r="C11" s="281" t="str">
        <f>'[3]DESEMBER 2024'!D9</f>
        <v>AGUNG SUBOWO</v>
      </c>
      <c r="D11" s="282">
        <f>'GAJI OKTOBER 2025'!AT9</f>
        <v>5661512.2999999998</v>
      </c>
      <c r="E11" s="291">
        <v>4762260.5999999996</v>
      </c>
      <c r="F11" s="532">
        <f t="shared" ref="F11:F14" si="8">E11-D11</f>
        <v>-899251.70000000019</v>
      </c>
      <c r="G11" s="516"/>
      <c r="H11" s="286"/>
      <c r="I11" s="292">
        <f t="shared" si="2"/>
        <v>0</v>
      </c>
      <c r="J11" s="282"/>
      <c r="K11" s="286"/>
      <c r="L11" s="292">
        <f t="shared" si="3"/>
        <v>0</v>
      </c>
      <c r="M11" s="286"/>
      <c r="N11" s="286"/>
      <c r="O11" s="292">
        <f t="shared" ref="O11:O14" si="9">M11-N11</f>
        <v>0</v>
      </c>
      <c r="P11" s="286"/>
      <c r="Q11" s="286"/>
      <c r="R11" s="292">
        <f t="shared" si="4"/>
        <v>0</v>
      </c>
      <c r="S11" s="286"/>
      <c r="T11" s="286"/>
      <c r="U11" s="292">
        <f t="shared" si="5"/>
        <v>0</v>
      </c>
      <c r="V11" s="286"/>
      <c r="W11" s="286"/>
      <c r="X11" s="293">
        <f t="shared" si="6"/>
        <v>0</v>
      </c>
      <c r="Y11" s="294">
        <f t="shared" si="7"/>
        <v>0</v>
      </c>
      <c r="Z11" s="278">
        <f t="shared" si="0"/>
        <v>-899251.70000000019</v>
      </c>
      <c r="AA11" s="278">
        <f t="shared" si="1"/>
        <v>-899251.70000000019</v>
      </c>
    </row>
    <row r="12" spans="1:29">
      <c r="A12" s="289">
        <v>3</v>
      </c>
      <c r="B12" s="290" t="s">
        <v>195</v>
      </c>
      <c r="C12" s="281" t="str">
        <f>'[3]DESEMBER 2024'!D10</f>
        <v>ISHARTONO</v>
      </c>
      <c r="D12" s="282">
        <f>'GAJI OKTOBER 2025'!AT10</f>
        <v>5379089.3399999999</v>
      </c>
      <c r="E12" s="291">
        <v>5025792.4800000004</v>
      </c>
      <c r="F12" s="532">
        <f t="shared" si="8"/>
        <v>-353296.8599999994</v>
      </c>
      <c r="G12" s="516"/>
      <c r="H12" s="286"/>
      <c r="I12" s="292">
        <f t="shared" si="2"/>
        <v>0</v>
      </c>
      <c r="J12" s="282"/>
      <c r="K12" s="286"/>
      <c r="L12" s="292">
        <f t="shared" si="3"/>
        <v>0</v>
      </c>
      <c r="M12" s="286"/>
      <c r="N12" s="286"/>
      <c r="O12" s="292">
        <f t="shared" si="9"/>
        <v>0</v>
      </c>
      <c r="P12" s="286"/>
      <c r="Q12" s="286"/>
      <c r="R12" s="292">
        <f t="shared" si="4"/>
        <v>0</v>
      </c>
      <c r="S12" s="286"/>
      <c r="T12" s="286"/>
      <c r="U12" s="292">
        <f t="shared" si="5"/>
        <v>0</v>
      </c>
      <c r="V12" s="286"/>
      <c r="W12" s="286"/>
      <c r="X12" s="293">
        <f t="shared" si="6"/>
        <v>0</v>
      </c>
      <c r="Y12" s="294">
        <f t="shared" si="7"/>
        <v>0</v>
      </c>
      <c r="Z12" s="278">
        <f t="shared" si="0"/>
        <v>-353296.8599999994</v>
      </c>
      <c r="AA12" s="278">
        <f t="shared" si="1"/>
        <v>-353296.8599999994</v>
      </c>
      <c r="AC12" s="295">
        <f>153852-145852</f>
        <v>8000</v>
      </c>
    </row>
    <row r="13" spans="1:29">
      <c r="A13" s="289">
        <v>4</v>
      </c>
      <c r="B13" s="290" t="s">
        <v>196</v>
      </c>
      <c r="C13" s="281" t="str">
        <f>'[3]DESEMBER 2024'!D11</f>
        <v>HARRY KRISTIAN</v>
      </c>
      <c r="D13" s="282">
        <f>'GAJI OKTOBER 2025'!AT11</f>
        <v>5508227.8799999999</v>
      </c>
      <c r="E13" s="291">
        <v>5089256.74</v>
      </c>
      <c r="F13" s="532">
        <f t="shared" si="8"/>
        <v>-418971.13999999966</v>
      </c>
      <c r="G13" s="516"/>
      <c r="H13" s="286"/>
      <c r="I13" s="292">
        <f t="shared" si="2"/>
        <v>0</v>
      </c>
      <c r="J13" s="282"/>
      <c r="K13" s="286"/>
      <c r="L13" s="292">
        <f t="shared" si="3"/>
        <v>0</v>
      </c>
      <c r="M13" s="286"/>
      <c r="N13" s="286"/>
      <c r="O13" s="292">
        <f t="shared" si="9"/>
        <v>0</v>
      </c>
      <c r="P13" s="286"/>
      <c r="Q13" s="286"/>
      <c r="R13" s="292">
        <f t="shared" si="4"/>
        <v>0</v>
      </c>
      <c r="S13" s="286"/>
      <c r="T13" s="286"/>
      <c r="U13" s="292">
        <f t="shared" si="5"/>
        <v>0</v>
      </c>
      <c r="V13" s="286"/>
      <c r="W13" s="286"/>
      <c r="X13" s="293">
        <f t="shared" si="6"/>
        <v>0</v>
      </c>
      <c r="Y13" s="294">
        <f t="shared" si="7"/>
        <v>0</v>
      </c>
      <c r="Z13" s="278">
        <f t="shared" si="0"/>
        <v>-418971.13999999966</v>
      </c>
      <c r="AA13" s="278">
        <f t="shared" si="1"/>
        <v>-418971.13999999966</v>
      </c>
    </row>
    <row r="14" spans="1:29" ht="15.75" thickBot="1">
      <c r="A14" s="289">
        <v>5</v>
      </c>
      <c r="B14" s="290" t="s">
        <v>197</v>
      </c>
      <c r="C14" s="281" t="str">
        <f>'[3]DESEMBER 2024'!D12</f>
        <v>ASIDO SIANTURI</v>
      </c>
      <c r="D14" s="282">
        <f>'GAJI OKTOBER 2025'!AT12</f>
        <v>6192794.7599999998</v>
      </c>
      <c r="E14" s="291">
        <v>5675203.0800000001</v>
      </c>
      <c r="F14" s="532">
        <f t="shared" si="8"/>
        <v>-517591.6799999997</v>
      </c>
      <c r="G14" s="516"/>
      <c r="H14" s="286"/>
      <c r="I14" s="292">
        <f t="shared" si="2"/>
        <v>0</v>
      </c>
      <c r="J14" s="282"/>
      <c r="K14" s="286"/>
      <c r="L14" s="292">
        <f t="shared" si="3"/>
        <v>0</v>
      </c>
      <c r="M14" s="286"/>
      <c r="N14" s="286"/>
      <c r="O14" s="292">
        <f t="shared" si="9"/>
        <v>0</v>
      </c>
      <c r="P14" s="286"/>
      <c r="Q14" s="286"/>
      <c r="R14" s="292">
        <f t="shared" si="4"/>
        <v>0</v>
      </c>
      <c r="S14" s="286"/>
      <c r="T14" s="286"/>
      <c r="U14" s="292">
        <f t="shared" si="5"/>
        <v>0</v>
      </c>
      <c r="V14" s="286"/>
      <c r="W14" s="286"/>
      <c r="X14" s="293">
        <f t="shared" si="6"/>
        <v>0</v>
      </c>
      <c r="Y14" s="294">
        <f t="shared" si="7"/>
        <v>0</v>
      </c>
      <c r="Z14" s="278">
        <f t="shared" si="0"/>
        <v>-517591.6799999997</v>
      </c>
      <c r="AA14" s="278">
        <f t="shared" si="1"/>
        <v>-517591.6799999997</v>
      </c>
    </row>
    <row r="15" spans="1:29" ht="15.75" thickBot="1">
      <c r="A15" s="644" t="s">
        <v>39</v>
      </c>
      <c r="B15" s="645"/>
      <c r="C15" s="646"/>
      <c r="D15" s="296">
        <f t="shared" ref="D15:Y15" si="10">SUM(D10:D14)</f>
        <v>28906719.039999999</v>
      </c>
      <c r="E15" s="296">
        <f t="shared" si="10"/>
        <v>26805911.600000001</v>
      </c>
      <c r="F15" s="508">
        <f t="shared" si="10"/>
        <v>-2100807.4399999985</v>
      </c>
      <c r="G15" s="296">
        <f t="shared" si="10"/>
        <v>0</v>
      </c>
      <c r="H15" s="296">
        <f t="shared" si="10"/>
        <v>0</v>
      </c>
      <c r="I15" s="296">
        <f t="shared" si="10"/>
        <v>0</v>
      </c>
      <c r="J15" s="296">
        <f t="shared" si="10"/>
        <v>0</v>
      </c>
      <c r="K15" s="296">
        <f t="shared" si="10"/>
        <v>0</v>
      </c>
      <c r="L15" s="296">
        <f t="shared" si="10"/>
        <v>0</v>
      </c>
      <c r="M15" s="296">
        <f t="shared" si="10"/>
        <v>0</v>
      </c>
      <c r="N15" s="296">
        <f t="shared" si="10"/>
        <v>0</v>
      </c>
      <c r="O15" s="296">
        <f t="shared" si="10"/>
        <v>0</v>
      </c>
      <c r="P15" s="296">
        <f t="shared" si="10"/>
        <v>0</v>
      </c>
      <c r="Q15" s="296">
        <f t="shared" si="10"/>
        <v>0</v>
      </c>
      <c r="R15" s="296">
        <f t="shared" si="10"/>
        <v>0</v>
      </c>
      <c r="S15" s="296">
        <f t="shared" si="10"/>
        <v>0</v>
      </c>
      <c r="T15" s="296">
        <f t="shared" si="10"/>
        <v>0</v>
      </c>
      <c r="U15" s="296">
        <f t="shared" si="10"/>
        <v>0</v>
      </c>
      <c r="V15" s="296">
        <f t="shared" si="10"/>
        <v>0</v>
      </c>
      <c r="W15" s="296">
        <f t="shared" si="10"/>
        <v>0</v>
      </c>
      <c r="X15" s="296">
        <f t="shared" si="10"/>
        <v>0</v>
      </c>
      <c r="Y15" s="296">
        <f t="shared" si="10"/>
        <v>0</v>
      </c>
      <c r="Z15" s="278">
        <f>F15-Y15</f>
        <v>-2100807.4399999985</v>
      </c>
      <c r="AA15" s="278">
        <f t="shared" si="1"/>
        <v>-2100807.4399999985</v>
      </c>
    </row>
    <row r="16" spans="1:29" ht="15.75" thickBot="1">
      <c r="A16" s="647" t="s">
        <v>103</v>
      </c>
      <c r="B16" s="648"/>
      <c r="C16" s="649"/>
      <c r="D16" s="297">
        <f>D15</f>
        <v>28906719.039999999</v>
      </c>
      <c r="E16" s="297">
        <f t="shared" ref="E16:Y16" si="11">E15</f>
        <v>26805911.600000001</v>
      </c>
      <c r="F16" s="509">
        <f t="shared" si="11"/>
        <v>-2100807.4399999985</v>
      </c>
      <c r="G16" s="297">
        <f t="shared" si="11"/>
        <v>0</v>
      </c>
      <c r="H16" s="297">
        <f t="shared" si="11"/>
        <v>0</v>
      </c>
      <c r="I16" s="297">
        <f t="shared" si="11"/>
        <v>0</v>
      </c>
      <c r="J16" s="297">
        <f t="shared" si="11"/>
        <v>0</v>
      </c>
      <c r="K16" s="297">
        <f t="shared" si="11"/>
        <v>0</v>
      </c>
      <c r="L16" s="297">
        <f t="shared" si="11"/>
        <v>0</v>
      </c>
      <c r="M16" s="297">
        <f t="shared" si="11"/>
        <v>0</v>
      </c>
      <c r="N16" s="297">
        <f t="shared" si="11"/>
        <v>0</v>
      </c>
      <c r="O16" s="297">
        <f t="shared" si="11"/>
        <v>0</v>
      </c>
      <c r="P16" s="297">
        <f t="shared" si="11"/>
        <v>0</v>
      </c>
      <c r="Q16" s="297">
        <f t="shared" si="11"/>
        <v>0</v>
      </c>
      <c r="R16" s="297">
        <f t="shared" si="11"/>
        <v>0</v>
      </c>
      <c r="S16" s="297">
        <f t="shared" si="11"/>
        <v>0</v>
      </c>
      <c r="T16" s="297">
        <f t="shared" si="11"/>
        <v>0</v>
      </c>
      <c r="U16" s="297">
        <f t="shared" si="11"/>
        <v>0</v>
      </c>
      <c r="V16" s="297">
        <f t="shared" si="11"/>
        <v>0</v>
      </c>
      <c r="W16" s="297">
        <f t="shared" si="11"/>
        <v>0</v>
      </c>
      <c r="X16" s="297">
        <f t="shared" si="11"/>
        <v>0</v>
      </c>
      <c r="Y16" s="297">
        <f t="shared" si="11"/>
        <v>0</v>
      </c>
      <c r="Z16" s="278">
        <f t="shared" ref="Z16" si="12">F16-Y16</f>
        <v>-2100807.4399999985</v>
      </c>
      <c r="AA16" s="278">
        <f t="shared" si="1"/>
        <v>-2100807.4399999985</v>
      </c>
    </row>
    <row r="17" spans="1:67" s="304" customFormat="1" ht="12.75">
      <c r="C17" s="305"/>
      <c r="D17" s="304">
        <f>'[4]PAYROOL DESEMBER 2024'!BC152</f>
        <v>365012630.6669172</v>
      </c>
      <c r="F17" s="510"/>
      <c r="K17" s="450">
        <f>33613-28453</f>
        <v>5160</v>
      </c>
    </row>
    <row r="18" spans="1:67" s="304" customFormat="1" ht="12.75">
      <c r="C18" s="305"/>
      <c r="D18" s="304">
        <f>D16-D17</f>
        <v>-336105911.62691718</v>
      </c>
      <c r="F18" s="510"/>
    </row>
    <row r="19" spans="1:67" s="298" customFormat="1" ht="20.25" customHeight="1">
      <c r="A19" s="306"/>
      <c r="B19" s="299"/>
      <c r="C19" s="307"/>
      <c r="D19" s="308"/>
      <c r="F19" s="511" t="s">
        <v>42</v>
      </c>
      <c r="G19" s="309"/>
      <c r="H19" s="299"/>
      <c r="I19" s="635" t="s">
        <v>198</v>
      </c>
      <c r="J19" s="635"/>
      <c r="K19" s="635"/>
      <c r="P19" s="635" t="s">
        <v>199</v>
      </c>
      <c r="Q19" s="635"/>
      <c r="V19" s="635" t="s">
        <v>200</v>
      </c>
      <c r="W19" s="635"/>
      <c r="X19" s="635"/>
      <c r="AF19" s="299" t="s">
        <v>128</v>
      </c>
      <c r="AG19" s="299"/>
      <c r="AH19" s="299"/>
      <c r="AI19" s="299"/>
      <c r="AJ19" s="299"/>
      <c r="AK19" s="306"/>
      <c r="AL19" s="310"/>
      <c r="BB19" s="299"/>
      <c r="BD19" s="311"/>
      <c r="BE19" s="312"/>
      <c r="BG19" s="313"/>
      <c r="BH19" s="309"/>
      <c r="BI19" s="309"/>
      <c r="BJ19" s="313"/>
      <c r="BK19" s="314"/>
      <c r="BL19" s="314"/>
      <c r="BM19" s="315"/>
      <c r="BN19" s="316" t="e">
        <f t="shared" ref="BN19:BN24" si="13">Q19+T19+V19</f>
        <v>#VALUE!</v>
      </c>
      <c r="BO19" s="317" t="e">
        <f t="shared" ref="BO19:BO24" si="14">AF19+AJ19</f>
        <v>#VALUE!</v>
      </c>
    </row>
    <row r="20" spans="1:67" s="298" customFormat="1" ht="22.5" customHeight="1">
      <c r="B20" s="299"/>
      <c r="C20" s="307"/>
      <c r="D20" s="308"/>
      <c r="F20" s="511"/>
      <c r="G20" s="318"/>
      <c r="Q20" s="299"/>
      <c r="R20" s="299"/>
      <c r="S20" s="299"/>
      <c r="V20" s="299"/>
      <c r="AF20" s="299"/>
      <c r="AG20" s="299"/>
      <c r="AH20" s="299"/>
      <c r="AJ20" s="299"/>
      <c r="AK20" s="306"/>
      <c r="AL20" s="314"/>
      <c r="AM20" s="310"/>
      <c r="AX20" s="299"/>
      <c r="AY20" s="299"/>
      <c r="AZ20" s="299"/>
      <c r="BA20" s="299"/>
      <c r="BB20" s="299"/>
      <c r="BD20" s="311"/>
      <c r="BE20" s="312"/>
      <c r="BG20" s="313"/>
      <c r="BH20" s="309"/>
      <c r="BI20" s="309"/>
      <c r="BJ20" s="313"/>
      <c r="BK20" s="314"/>
      <c r="BL20" s="314"/>
      <c r="BM20" s="315"/>
      <c r="BN20" s="316">
        <f t="shared" si="13"/>
        <v>0</v>
      </c>
      <c r="BO20" s="317">
        <f t="shared" si="14"/>
        <v>0</v>
      </c>
    </row>
    <row r="21" spans="1:67" s="302" customFormat="1" ht="22.5" customHeight="1">
      <c r="B21" s="303"/>
      <c r="C21" s="319"/>
      <c r="D21" s="320"/>
      <c r="F21" s="512"/>
      <c r="G21" s="321"/>
      <c r="H21" s="451"/>
      <c r="I21" s="298"/>
      <c r="J21" s="300"/>
      <c r="K21" s="298"/>
      <c r="L21" s="298"/>
      <c r="M21" s="298"/>
      <c r="N21" s="298"/>
      <c r="R21" s="298"/>
      <c r="S21" s="298"/>
      <c r="T21" s="298"/>
      <c r="AE21" s="298"/>
      <c r="AF21" s="300"/>
      <c r="AG21" s="300"/>
      <c r="AH21" s="300"/>
      <c r="AI21" s="298"/>
      <c r="AJ21" s="298"/>
      <c r="AK21" s="306"/>
      <c r="AL21" s="310"/>
      <c r="AM21" s="298"/>
      <c r="AN21" s="298"/>
      <c r="BB21" s="322"/>
      <c r="BC21" s="323"/>
      <c r="BD21" s="323"/>
      <c r="BE21" s="324"/>
      <c r="BG21" s="325"/>
      <c r="BH21" s="326"/>
      <c r="BI21" s="326"/>
      <c r="BJ21" s="325"/>
      <c r="BK21" s="327"/>
      <c r="BL21" s="327"/>
      <c r="BM21" s="328"/>
      <c r="BN21" s="316">
        <f t="shared" si="13"/>
        <v>0</v>
      </c>
      <c r="BO21" s="317">
        <f t="shared" si="14"/>
        <v>0</v>
      </c>
    </row>
    <row r="22" spans="1:67" s="302" customFormat="1" ht="22.5" customHeight="1">
      <c r="B22" s="303"/>
      <c r="C22" s="319"/>
      <c r="D22" s="320"/>
      <c r="F22" s="512"/>
      <c r="G22" s="325"/>
      <c r="H22" s="451"/>
      <c r="I22" s="298"/>
      <c r="J22" s="298"/>
      <c r="K22" s="298"/>
      <c r="L22" s="298"/>
      <c r="M22" s="298"/>
      <c r="N22" s="298"/>
      <c r="P22" s="317"/>
      <c r="R22" s="298"/>
      <c r="S22" s="298"/>
      <c r="T22" s="298"/>
      <c r="V22" s="317"/>
      <c r="AE22" s="298"/>
      <c r="AF22" s="298"/>
      <c r="AG22" s="298"/>
      <c r="AH22" s="298"/>
      <c r="AI22" s="329"/>
      <c r="AJ22" s="298"/>
      <c r="AK22" s="330"/>
      <c r="AL22" s="310"/>
      <c r="AM22" s="298"/>
      <c r="AN22" s="298"/>
      <c r="BC22" s="323"/>
      <c r="BE22" s="303"/>
      <c r="BG22" s="325"/>
      <c r="BH22" s="326"/>
      <c r="BI22" s="326"/>
      <c r="BJ22" s="325"/>
      <c r="BK22" s="327"/>
      <c r="BL22" s="327"/>
      <c r="BM22" s="328"/>
      <c r="BN22" s="316">
        <f t="shared" si="13"/>
        <v>0</v>
      </c>
      <c r="BO22" s="317">
        <f t="shared" si="14"/>
        <v>0</v>
      </c>
    </row>
    <row r="23" spans="1:67" s="302" customFormat="1" ht="18.75" customHeight="1">
      <c r="B23" s="303"/>
      <c r="C23" s="331"/>
      <c r="D23" s="332"/>
      <c r="F23" s="513" t="s">
        <v>100</v>
      </c>
      <c r="G23" s="333"/>
      <c r="H23" s="301"/>
      <c r="I23" s="650" t="s">
        <v>201</v>
      </c>
      <c r="J23" s="650"/>
      <c r="K23" s="650"/>
      <c r="L23" s="298"/>
      <c r="M23" s="298"/>
      <c r="N23" s="298"/>
      <c r="P23" s="651" t="s">
        <v>202</v>
      </c>
      <c r="Q23" s="651"/>
      <c r="R23" s="334"/>
      <c r="S23" s="334"/>
      <c r="T23" s="298"/>
      <c r="V23" s="651" t="s">
        <v>158</v>
      </c>
      <c r="W23" s="651"/>
      <c r="X23" s="651"/>
      <c r="AE23" s="298"/>
      <c r="AF23" s="301" t="s">
        <v>202</v>
      </c>
      <c r="AG23" s="301"/>
      <c r="AH23" s="301"/>
      <c r="AI23" s="301"/>
      <c r="AJ23" s="301"/>
      <c r="AK23" s="335"/>
      <c r="AL23" s="298"/>
      <c r="AM23" s="298"/>
      <c r="AN23" s="336"/>
      <c r="AX23" s="336"/>
      <c r="AY23" s="336"/>
      <c r="AZ23" s="336"/>
      <c r="BA23" s="334"/>
      <c r="BB23" s="337"/>
      <c r="BE23" s="303"/>
      <c r="BG23" s="325"/>
      <c r="BH23" s="326"/>
      <c r="BI23" s="326"/>
      <c r="BJ23" s="325"/>
      <c r="BK23" s="327"/>
      <c r="BL23" s="327"/>
      <c r="BM23" s="328"/>
      <c r="BN23" s="316" t="e">
        <f t="shared" si="13"/>
        <v>#VALUE!</v>
      </c>
      <c r="BO23" s="317" t="e">
        <f t="shared" si="14"/>
        <v>#VALUE!</v>
      </c>
    </row>
    <row r="24" spans="1:67" s="302" customFormat="1" ht="18.75" customHeight="1">
      <c r="B24" s="303"/>
      <c r="C24" s="338"/>
      <c r="D24" s="320"/>
      <c r="F24" s="514" t="s">
        <v>203</v>
      </c>
      <c r="G24" s="326"/>
      <c r="H24" s="303"/>
      <c r="I24" s="652" t="s">
        <v>204</v>
      </c>
      <c r="J24" s="652"/>
      <c r="K24" s="652"/>
      <c r="L24" s="298"/>
      <c r="M24" s="298"/>
      <c r="N24" s="298"/>
      <c r="P24" s="652" t="s">
        <v>205</v>
      </c>
      <c r="Q24" s="652"/>
      <c r="V24" s="652" t="s">
        <v>206</v>
      </c>
      <c r="W24" s="652"/>
      <c r="X24" s="652"/>
      <c r="AF24" s="303" t="s">
        <v>207</v>
      </c>
      <c r="AG24" s="303"/>
      <c r="AH24" s="303"/>
      <c r="AI24" s="303"/>
      <c r="AJ24" s="303"/>
      <c r="AK24" s="339"/>
      <c r="BB24" s="303"/>
      <c r="BE24" s="303"/>
      <c r="BG24" s="325"/>
      <c r="BH24" s="326"/>
      <c r="BI24" s="326"/>
      <c r="BJ24" s="325"/>
      <c r="BK24" s="327"/>
      <c r="BL24" s="327"/>
      <c r="BM24" s="328"/>
      <c r="BN24" s="316" t="e">
        <f t="shared" si="13"/>
        <v>#VALUE!</v>
      </c>
      <c r="BO24" s="317" t="e">
        <f t="shared" si="14"/>
        <v>#VALUE!</v>
      </c>
    </row>
    <row r="25" spans="1:67" s="340" customFormat="1">
      <c r="C25" s="341"/>
      <c r="F25" s="515"/>
    </row>
  </sheetData>
  <mergeCells count="28">
    <mergeCell ref="I23:K23"/>
    <mergeCell ref="P23:Q23"/>
    <mergeCell ref="V23:X23"/>
    <mergeCell ref="I24:K24"/>
    <mergeCell ref="P24:Q24"/>
    <mergeCell ref="V24:X24"/>
    <mergeCell ref="A9:E9"/>
    <mergeCell ref="A15:C15"/>
    <mergeCell ref="A16:C16"/>
    <mergeCell ref="I19:K19"/>
    <mergeCell ref="P19:Q19"/>
    <mergeCell ref="V19:X19"/>
    <mergeCell ref="G7:I7"/>
    <mergeCell ref="J7:L7"/>
    <mergeCell ref="M7:O7"/>
    <mergeCell ref="P7:R7"/>
    <mergeCell ref="S7:U7"/>
    <mergeCell ref="V7:X7"/>
    <mergeCell ref="A4:Y4"/>
    <mergeCell ref="A5:Y5"/>
    <mergeCell ref="A6:A8"/>
    <mergeCell ref="B6:B8"/>
    <mergeCell ref="C6:C8"/>
    <mergeCell ref="D6:D8"/>
    <mergeCell ref="E6:E8"/>
    <mergeCell ref="F6:F8"/>
    <mergeCell ref="G6:X6"/>
    <mergeCell ref="Y6:Y8"/>
  </mergeCells>
  <printOptions horizontalCentered="1"/>
  <pageMargins left="0" right="0" top="0.25" bottom="0" header="0.3" footer="0.3"/>
  <pageSetup paperSize="9" scale="50" orientation="landscape" horizontalDpi="180" verticalDpi="180" r:id="rId1"/>
  <colBreaks count="2" manualBreakCount="2">
    <brk id="25" max="1048575" man="1"/>
    <brk id="2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7"/>
  <sheetViews>
    <sheetView view="pageBreakPreview" zoomScale="86" zoomScaleNormal="70" zoomScaleSheetLayoutView="86" workbookViewId="0">
      <selection activeCell="L18" sqref="L18"/>
    </sheetView>
  </sheetViews>
  <sheetFormatPr defaultColWidth="9.140625" defaultRowHeight="15.75"/>
  <cols>
    <col min="1" max="1" width="8.85546875" style="63" customWidth="1"/>
    <col min="2" max="2" width="16.28515625" style="154" customWidth="1"/>
    <col min="3" max="3" width="7.28515625" style="63" customWidth="1"/>
    <col min="4" max="4" width="12.7109375" style="63" customWidth="1"/>
    <col min="5" max="5" width="7" style="63" customWidth="1"/>
    <col min="6" max="6" width="11.42578125" style="63" customWidth="1"/>
    <col min="7" max="7" width="6.42578125" style="63" customWidth="1"/>
    <col min="8" max="8" width="11.7109375" style="62" customWidth="1"/>
    <col min="9" max="9" width="5.85546875" style="63" hidden="1" customWidth="1"/>
    <col min="10" max="10" width="10.28515625" style="63" hidden="1" customWidth="1"/>
    <col min="11" max="11" width="5.85546875" style="63" customWidth="1"/>
    <col min="12" max="12" width="11.42578125" style="63" customWidth="1"/>
    <col min="13" max="13" width="5.7109375" style="63" customWidth="1"/>
    <col min="14" max="14" width="11.5703125" style="63" customWidth="1"/>
    <col min="15" max="15" width="6" style="63" hidden="1" customWidth="1"/>
    <col min="16" max="16" width="10.140625" style="63" hidden="1" customWidth="1"/>
    <col min="17" max="17" width="6.7109375" style="63" customWidth="1"/>
    <col min="18" max="18" width="10" style="63" customWidth="1"/>
    <col min="19" max="19" width="11.42578125" style="63" customWidth="1"/>
    <col min="20" max="20" width="10.28515625" style="63" customWidth="1"/>
    <col min="21" max="21" width="10" style="63" customWidth="1"/>
    <col min="22" max="22" width="11.85546875" style="63" customWidth="1"/>
    <col min="23" max="23" width="11.42578125" style="63" customWidth="1"/>
    <col min="24" max="24" width="11.7109375" style="63" customWidth="1"/>
    <col min="25" max="25" width="9.42578125" style="63" hidden="1" customWidth="1"/>
    <col min="26" max="26" width="11.42578125" style="63" customWidth="1"/>
    <col min="27" max="27" width="8.5703125" style="63" customWidth="1"/>
    <col min="28" max="28" width="11.28515625" style="63" customWidth="1"/>
    <col min="29" max="29" width="10.28515625" style="63" customWidth="1"/>
    <col min="30" max="30" width="9.5703125" style="63" customWidth="1"/>
    <col min="31" max="31" width="10.5703125" style="63" customWidth="1"/>
    <col min="32" max="32" width="9.28515625" style="63" hidden="1" customWidth="1"/>
    <col min="33" max="33" width="12.85546875" style="63" customWidth="1"/>
    <col min="34" max="34" width="10.42578125" style="63" customWidth="1"/>
    <col min="35" max="35" width="10.140625" style="63" customWidth="1"/>
    <col min="36" max="36" width="10.5703125" style="63" customWidth="1"/>
    <col min="37" max="37" width="13.7109375" style="63" customWidth="1"/>
    <col min="38" max="38" width="11.5703125" style="63" customWidth="1"/>
    <col min="39" max="39" width="14" style="63" bestFit="1" customWidth="1"/>
    <col min="40" max="16384" width="9.140625" style="63"/>
  </cols>
  <sheetData>
    <row r="1" spans="1:39" s="62" customFormat="1" ht="24" customHeight="1">
      <c r="A1" s="662" t="s">
        <v>41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2"/>
      <c r="AA1" s="662"/>
      <c r="AB1" s="662"/>
      <c r="AC1" s="662"/>
      <c r="AD1" s="662"/>
      <c r="AE1" s="662"/>
      <c r="AF1" s="662"/>
      <c r="AG1" s="662"/>
      <c r="AH1" s="662"/>
      <c r="AI1" s="662"/>
      <c r="AJ1" s="662"/>
      <c r="AK1" s="662"/>
    </row>
    <row r="2" spans="1:39" ht="22.5" customHeight="1">
      <c r="A2" s="663" t="s">
        <v>156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3"/>
      <c r="AG2" s="663"/>
      <c r="AH2" s="663"/>
      <c r="AI2" s="663"/>
      <c r="AJ2" s="663"/>
      <c r="AK2" s="663"/>
    </row>
    <row r="3" spans="1:39" ht="15" customHeight="1">
      <c r="A3" s="64"/>
      <c r="B3" s="64"/>
      <c r="C3" s="64"/>
      <c r="D3" s="64"/>
      <c r="E3" s="64"/>
      <c r="F3" s="64"/>
      <c r="G3" s="64"/>
      <c r="H3" s="65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</row>
    <row r="4" spans="1:39" s="68" customFormat="1" ht="15" customHeight="1">
      <c r="A4" s="66" t="s">
        <v>64</v>
      </c>
      <c r="B4" s="67"/>
      <c r="C4" s="68" t="s">
        <v>95</v>
      </c>
      <c r="H4" s="62"/>
    </row>
    <row r="5" spans="1:39" s="68" customFormat="1" ht="15" customHeight="1">
      <c r="A5" s="66" t="s">
        <v>89</v>
      </c>
      <c r="B5" s="67"/>
      <c r="C5" s="68" t="s">
        <v>94</v>
      </c>
      <c r="H5" s="69"/>
      <c r="AC5" s="70"/>
      <c r="AD5" s="70"/>
      <c r="AH5" s="70"/>
      <c r="AI5" s="70"/>
      <c r="AJ5" s="70"/>
    </row>
    <row r="6" spans="1:39" s="49" customFormat="1" ht="18.75" customHeight="1" thickBot="1">
      <c r="B6" s="158"/>
      <c r="D6" s="50">
        <v>121333.33</v>
      </c>
      <c r="E6" s="51">
        <f>85/402</f>
        <v>0.21144278606965175</v>
      </c>
      <c r="K6" s="49">
        <f>40/186</f>
        <v>0.21505376344086022</v>
      </c>
      <c r="Q6" s="51">
        <f>17/402</f>
        <v>4.228855721393035E-2</v>
      </c>
      <c r="S6" s="52">
        <f>655200/146</f>
        <v>4487.6712328767126</v>
      </c>
      <c r="T6" s="49">
        <f>364000/146</f>
        <v>2493.1506849315069</v>
      </c>
      <c r="U6" s="49">
        <f>72500/146</f>
        <v>496.57534246575341</v>
      </c>
      <c r="V6" s="49">
        <f>11232530/186</f>
        <v>60389.946236559139</v>
      </c>
      <c r="X6" s="53">
        <f>5384248/382</f>
        <v>14094.890052356021</v>
      </c>
      <c r="Z6" s="54">
        <f>101386.95/99</f>
        <v>1024.110606060606</v>
      </c>
      <c r="AA6" s="49">
        <f>40000/229</f>
        <v>174.67248908296943</v>
      </c>
      <c r="AB6" s="49">
        <f>276323/229</f>
        <v>1206.6506550218342</v>
      </c>
      <c r="AC6" s="54">
        <f>202773.9/99</f>
        <v>2048.2212121212119</v>
      </c>
      <c r="AD6" s="55">
        <f>3230026.66*1%</f>
        <v>32300.266600000003</v>
      </c>
      <c r="AH6" s="53">
        <f>637826/131</f>
        <v>4868.9007633587789</v>
      </c>
      <c r="AI6" s="53">
        <f>561960/131</f>
        <v>4289.7709923664124</v>
      </c>
      <c r="AJ6" s="53">
        <f>280980/131</f>
        <v>2144.8854961832062</v>
      </c>
    </row>
    <row r="7" spans="1:39" s="72" customFormat="1" ht="19.5" customHeight="1">
      <c r="A7" s="664" t="s">
        <v>65</v>
      </c>
      <c r="B7" s="660" t="s">
        <v>66</v>
      </c>
      <c r="C7" s="667" t="s">
        <v>43</v>
      </c>
      <c r="D7" s="667"/>
      <c r="E7" s="667" t="s">
        <v>67</v>
      </c>
      <c r="F7" s="667"/>
      <c r="G7" s="667"/>
      <c r="H7" s="667"/>
      <c r="I7" s="667"/>
      <c r="J7" s="667"/>
      <c r="K7" s="667"/>
      <c r="L7" s="667"/>
      <c r="M7" s="667"/>
      <c r="N7" s="667"/>
      <c r="O7" s="667"/>
      <c r="P7" s="667"/>
      <c r="Q7" s="667"/>
      <c r="R7" s="667"/>
      <c r="S7" s="667" t="s">
        <v>27</v>
      </c>
      <c r="T7" s="667"/>
      <c r="U7" s="667"/>
      <c r="V7" s="660" t="s">
        <v>68</v>
      </c>
      <c r="W7" s="660" t="s">
        <v>27</v>
      </c>
      <c r="X7" s="660" t="s">
        <v>63</v>
      </c>
      <c r="Y7" s="671" t="s">
        <v>69</v>
      </c>
      <c r="Z7" s="671"/>
      <c r="AA7" s="671"/>
      <c r="AB7" s="671"/>
      <c r="AC7" s="671"/>
      <c r="AD7" s="671"/>
      <c r="AE7" s="671"/>
      <c r="AF7" s="155"/>
      <c r="AG7" s="71" t="s">
        <v>11</v>
      </c>
      <c r="AH7" s="660" t="s">
        <v>70</v>
      </c>
      <c r="AI7" s="660" t="s">
        <v>71</v>
      </c>
      <c r="AJ7" s="660" t="s">
        <v>72</v>
      </c>
      <c r="AK7" s="668" t="s">
        <v>39</v>
      </c>
    </row>
    <row r="8" spans="1:39" s="72" customFormat="1" ht="36" customHeight="1">
      <c r="A8" s="665"/>
      <c r="B8" s="661"/>
      <c r="C8" s="657" t="s">
        <v>33</v>
      </c>
      <c r="D8" s="657" t="s">
        <v>73</v>
      </c>
      <c r="E8" s="659" t="s">
        <v>74</v>
      </c>
      <c r="F8" s="659"/>
      <c r="G8" s="659" t="s">
        <v>75</v>
      </c>
      <c r="H8" s="659"/>
      <c r="I8" s="659" t="s">
        <v>76</v>
      </c>
      <c r="J8" s="659"/>
      <c r="K8" s="659" t="s">
        <v>77</v>
      </c>
      <c r="L8" s="659"/>
      <c r="M8" s="659" t="s">
        <v>78</v>
      </c>
      <c r="N8" s="659"/>
      <c r="O8" s="659" t="s">
        <v>90</v>
      </c>
      <c r="P8" s="659"/>
      <c r="Q8" s="659" t="s">
        <v>79</v>
      </c>
      <c r="R8" s="659"/>
      <c r="S8" s="657" t="s">
        <v>19</v>
      </c>
      <c r="T8" s="657" t="s">
        <v>20</v>
      </c>
      <c r="U8" s="657" t="s">
        <v>80</v>
      </c>
      <c r="V8" s="661"/>
      <c r="W8" s="661"/>
      <c r="X8" s="661"/>
      <c r="Y8" s="657" t="s">
        <v>81</v>
      </c>
      <c r="Z8" s="657" t="s">
        <v>44</v>
      </c>
      <c r="AA8" s="657" t="s">
        <v>30</v>
      </c>
      <c r="AB8" s="661" t="s">
        <v>82</v>
      </c>
      <c r="AC8" s="657" t="s">
        <v>83</v>
      </c>
      <c r="AD8" s="73" t="s">
        <v>45</v>
      </c>
      <c r="AE8" s="657" t="s">
        <v>137</v>
      </c>
      <c r="AF8" s="156"/>
      <c r="AG8" s="661" t="s">
        <v>84</v>
      </c>
      <c r="AH8" s="661"/>
      <c r="AI8" s="661"/>
      <c r="AJ8" s="661"/>
      <c r="AK8" s="669"/>
    </row>
    <row r="9" spans="1:39" s="72" customFormat="1" ht="31.5" customHeight="1" thickBot="1">
      <c r="A9" s="666"/>
      <c r="B9" s="658"/>
      <c r="C9" s="658"/>
      <c r="D9" s="658"/>
      <c r="E9" s="74" t="s">
        <v>33</v>
      </c>
      <c r="F9" s="74" t="s">
        <v>73</v>
      </c>
      <c r="G9" s="74" t="s">
        <v>33</v>
      </c>
      <c r="H9" s="74" t="s">
        <v>73</v>
      </c>
      <c r="I9" s="74" t="s">
        <v>33</v>
      </c>
      <c r="J9" s="74" t="s">
        <v>73</v>
      </c>
      <c r="K9" s="74" t="s">
        <v>33</v>
      </c>
      <c r="L9" s="74" t="s">
        <v>73</v>
      </c>
      <c r="M9" s="74" t="s">
        <v>33</v>
      </c>
      <c r="N9" s="74" t="s">
        <v>73</v>
      </c>
      <c r="O9" s="74" t="s">
        <v>33</v>
      </c>
      <c r="P9" s="74" t="s">
        <v>73</v>
      </c>
      <c r="Q9" s="74" t="s">
        <v>33</v>
      </c>
      <c r="R9" s="74" t="s">
        <v>73</v>
      </c>
      <c r="S9" s="658"/>
      <c r="T9" s="658"/>
      <c r="U9" s="658"/>
      <c r="V9" s="658"/>
      <c r="W9" s="658"/>
      <c r="X9" s="658"/>
      <c r="Y9" s="658"/>
      <c r="Z9" s="658"/>
      <c r="AA9" s="658"/>
      <c r="AB9" s="658"/>
      <c r="AC9" s="658"/>
      <c r="AD9" s="75">
        <v>0.01</v>
      </c>
      <c r="AE9" s="658"/>
      <c r="AF9" s="157"/>
      <c r="AG9" s="658"/>
      <c r="AH9" s="658"/>
      <c r="AI9" s="658"/>
      <c r="AJ9" s="658"/>
      <c r="AK9" s="670"/>
    </row>
    <row r="10" spans="1:39" s="62" customFormat="1" ht="58.5" customHeight="1">
      <c r="A10" s="653" t="s">
        <v>98</v>
      </c>
      <c r="B10" s="76" t="s">
        <v>96</v>
      </c>
      <c r="C10" s="77">
        <f>'GAJI OKTOBER 2025'!E8+'GAJI OKTOBER 2025'!E9+'GAJI OKTOBER 2025'!E11+'GAJI OKTOBER 2025'!E12</f>
        <v>96</v>
      </c>
      <c r="D10" s="78">
        <f>C10*$D$6</f>
        <v>11647999.68</v>
      </c>
      <c r="E10" s="77">
        <f>'GAJI OKTOBER 2025'!H8+'GAJI OKTOBER 2025'!H9+'GAJI OKTOBER 2025'!H11+'GAJI OKTOBER 2025'!H12</f>
        <v>7</v>
      </c>
      <c r="F10" s="79">
        <f>E10*$D$6</f>
        <v>849333.31</v>
      </c>
      <c r="G10" s="77">
        <f>'GAJI OKTOBER 2025'!J8+'GAJI OKTOBER 2025'!J9+'GAJI OKTOBER 2025'!J11+'GAJI OKTOBER 2025'!J12</f>
        <v>4</v>
      </c>
      <c r="H10" s="80">
        <f>G10*D6</f>
        <v>485333.32</v>
      </c>
      <c r="I10" s="79">
        <v>0</v>
      </c>
      <c r="J10" s="79">
        <f>I10*$D$6</f>
        <v>0</v>
      </c>
      <c r="K10" s="77">
        <f>'GAJI OKTOBER 2025'!N8+'GAJI OKTOBER 2025'!N9+'GAJI OKTOBER 2025'!N11+'GAJI OKTOBER 2025'!N12</f>
        <v>16</v>
      </c>
      <c r="L10" s="79">
        <f>K10*$D$6</f>
        <v>1941333.28</v>
      </c>
      <c r="M10" s="79">
        <f>'GAJI OKTOBER 2025'!P8+'GAJI OKTOBER 2025'!P9+'GAJI OKTOBER 2025'!P11+'GAJI OKTOBER 2025'!P12</f>
        <v>0</v>
      </c>
      <c r="N10" s="79">
        <f>M10*$D$6</f>
        <v>0</v>
      </c>
      <c r="O10" s="79">
        <v>0</v>
      </c>
      <c r="P10" s="79">
        <f>O10*$D$6</f>
        <v>0</v>
      </c>
      <c r="Q10" s="79">
        <f>'GAJI OKTOBER 2025'!T8+'GAJI OKTOBER 2025'!T9+'GAJI OKTOBER 2025'!T11+'GAJI OKTOBER 2025'!T12</f>
        <v>0</v>
      </c>
      <c r="R10" s="79">
        <f>Q10*$D$6</f>
        <v>0</v>
      </c>
      <c r="S10" s="79">
        <f>'GAJI OKTOBER 2025'!X8+'GAJI OKTOBER 2025'!X9+'GAJI OKTOBER 2025'!X11+'GAJI OKTOBER 2025'!X12</f>
        <v>486550</v>
      </c>
      <c r="T10" s="79">
        <f>'GAJI OKTOBER 2025'!AA8+'GAJI OKTOBER 2025'!AA9+'GAJI OKTOBER 2025'!AA11+'GAJI OKTOBER 2025'!AA12</f>
        <v>240000</v>
      </c>
      <c r="U10" s="79">
        <f>'GAJI OKTOBER 2025'!AD8+'GAJI OKTOBER 2025'!AD9+'GAJI OKTOBER 2025'!AD11+'GAJI OKTOBER 2025'!AD12</f>
        <v>181500</v>
      </c>
      <c r="V10" s="81">
        <f>'GAJI OKTOBER 2025'!AE8+'GAJI OKTOBER 2025'!AE9+'GAJI OKTOBER 2025'!AE11+'GAJI OKTOBER 2025'!AE12</f>
        <v>7047344.6999999993</v>
      </c>
      <c r="W10" s="82">
        <v>200000</v>
      </c>
      <c r="X10" s="82">
        <v>400000</v>
      </c>
      <c r="Y10" s="83"/>
      <c r="Z10" s="79">
        <f>'GAJI OKTOBER 2025'!AL8+'GAJI OKTOBER 2025'!AL9+'GAJI OKTOBER 2025'!AL11+'GAJI OKTOBER 2025'!AL12</f>
        <v>156879</v>
      </c>
      <c r="AA10" s="84">
        <f>'GAJI OKTOBER 2025'!AQ8+'GAJI OKTOBER 2025'!AQ9+'GAJI OKTOBER 2025'!AQ11+'GAJI OKTOBER 2025'!AQ12</f>
        <v>16000</v>
      </c>
      <c r="AB10" s="84">
        <f>'GAJI OKTOBER 2025'!AR8+'GAJI OKTOBER 2025'!AR9+'GAJI OKTOBER 2025'!AR11+'GAJI OKTOBER 2025'!AR12</f>
        <v>78309</v>
      </c>
      <c r="AC10" s="79">
        <f>'GAJI OKTOBER 2025'!AI8+'GAJI OKTOBER 2025'!AI9+'GAJI OKTOBER 2025'!AI11+'GAJI OKTOBER 2025'!AI12</f>
        <v>313758</v>
      </c>
      <c r="AD10" s="79">
        <f>'GAJI OKTOBER 2025'!AN8+'GAJI OKTOBER 2025'!AN9+'GAJI OKTOBER 2025'!AN11+'GAJI OKTOBER 2025'!AN12</f>
        <v>156879</v>
      </c>
      <c r="AE10" s="84">
        <v>200000</v>
      </c>
      <c r="AF10" s="84"/>
      <c r="AG10" s="84">
        <f>SUM(D10+F10+H10+J10+L10+N10+P10+R10+S10+T10+U10+V10+W10+X10)-SUM(Y10+Z10+AA10+AB10+AC10+AD10+AE10)+AF10</f>
        <v>22557569.289999999</v>
      </c>
      <c r="AH10" s="85">
        <f>'GAJI OKTOBER 2025'!AJ8+'GAJI OKTOBER 2025'!AJ9+'GAJI OKTOBER 2025'!AJ11+'GAJI OKTOBER 2025'!AJ12</f>
        <v>712230.66</v>
      </c>
      <c r="AI10" s="85">
        <f>'GAJI OKTOBER 2025'!AM8+'GAJI OKTOBER 2025'!AM9+'GAJI OKTOBER 2025'!AM11+'GAJI OKTOBER 2025'!AM12</f>
        <v>627516</v>
      </c>
      <c r="AJ10" s="85">
        <f>'GAJI OKTOBER 2025'!AO8+'GAJI OKTOBER 2025'!AO9+'GAJI OKTOBER 2025'!AO11+'GAJI OKTOBER 2025'!AO12</f>
        <v>313758</v>
      </c>
      <c r="AK10" s="86">
        <f>Y10+Z10+AA10+AB10+AC10+AD10+AE10+AF10+AG10+AH10+AI10+AJ10</f>
        <v>25132898.949999999</v>
      </c>
      <c r="AL10" s="87"/>
    </row>
    <row r="11" spans="1:39" s="62" customFormat="1" ht="58.5" customHeight="1" thickBot="1">
      <c r="A11" s="654"/>
      <c r="B11" s="88" t="s">
        <v>97</v>
      </c>
      <c r="C11" s="89">
        <f>'GAJI OKTOBER 2025'!E10</f>
        <v>26</v>
      </c>
      <c r="D11" s="90">
        <f>C11*$D$6</f>
        <v>3154666.58</v>
      </c>
      <c r="E11" s="91">
        <f>'GAJI OKTOBER 2025'!H10</f>
        <v>1</v>
      </c>
      <c r="F11" s="92">
        <f>E11*$D$6</f>
        <v>121333.33</v>
      </c>
      <c r="G11" s="91">
        <f>'GAJI OKTOBER 2025'!J10</f>
        <v>0</v>
      </c>
      <c r="H11" s="93">
        <f>G11*$D$6</f>
        <v>0</v>
      </c>
      <c r="I11" s="92"/>
      <c r="J11" s="92">
        <f>I11*$D$6</f>
        <v>0</v>
      </c>
      <c r="K11" s="91">
        <f>'GAJI OKTOBER 2025'!N10</f>
        <v>4</v>
      </c>
      <c r="L11" s="92">
        <f>K11*$D$6</f>
        <v>485333.32</v>
      </c>
      <c r="M11" s="92">
        <f>'GAJI OKTOBER 2025'!P10</f>
        <v>0</v>
      </c>
      <c r="N11" s="92">
        <f>M11*$D$6</f>
        <v>0</v>
      </c>
      <c r="O11" s="92"/>
      <c r="P11" s="92">
        <f>O11*$D$6</f>
        <v>0</v>
      </c>
      <c r="Q11" s="92">
        <f>'GAJI OKTOBER 2025'!T10</f>
        <v>0</v>
      </c>
      <c r="R11" s="92">
        <f>Q11*$D$6</f>
        <v>0</v>
      </c>
      <c r="S11" s="92">
        <f>'GAJI OKTOBER 2025'!X10</f>
        <v>114700</v>
      </c>
      <c r="T11" s="92">
        <f>'GAJI OKTOBER 2025'!AA10</f>
        <v>65000</v>
      </c>
      <c r="U11" s="92">
        <f>'GAJI OKTOBER 2025'!AD10</f>
        <v>43500</v>
      </c>
      <c r="V11" s="94">
        <f>'GAJI OKTOBER 2025'!AE10</f>
        <v>1310873.3399999999</v>
      </c>
      <c r="W11" s="91"/>
      <c r="X11" s="95">
        <v>0</v>
      </c>
      <c r="Y11" s="96"/>
      <c r="Z11" s="93">
        <f>'GAJI OKTOBER 2025'!AL10</f>
        <v>39201</v>
      </c>
      <c r="AA11" s="97">
        <v>4000</v>
      </c>
      <c r="AB11" s="97">
        <f>'GAJI OKTOBER 2025'!AR10</f>
        <v>0</v>
      </c>
      <c r="AC11" s="92">
        <f>'GAJI OKTOBER 2025'!AI10</f>
        <v>78402</v>
      </c>
      <c r="AD11" s="92">
        <f>'GAJI OKTOBER 2025'!AN10</f>
        <v>39201</v>
      </c>
      <c r="AE11" s="97">
        <f>'GAJI OKTOBER 2025'!AS9</f>
        <v>0</v>
      </c>
      <c r="AF11" s="97"/>
      <c r="AG11" s="98">
        <f>SUM(D11+F11+H11+J11+L11+N11+P11+R11+S11+T11+U11+V11+W11+X11)-SUM(Y11+Z11+AA11+AB11+AC11+AD11-AE11)+AF11</f>
        <v>5134602.57</v>
      </c>
      <c r="AH11" s="99">
        <f>'GAJI OKTOBER 2025'!AJ10</f>
        <v>177972.54</v>
      </c>
      <c r="AI11" s="99">
        <f>'GAJI OKTOBER 2025'!AM10</f>
        <v>156804</v>
      </c>
      <c r="AJ11" s="99">
        <f>'GAJI OKTOBER 2025'!AO10</f>
        <v>78402</v>
      </c>
      <c r="AK11" s="100">
        <f>Y11+Z11+AA11+AB11+AC11+AD11+AE11+AF11+AG11+AH11+AI11+AJ11</f>
        <v>5708585.1100000003</v>
      </c>
      <c r="AL11" s="87"/>
      <c r="AM11" s="101"/>
    </row>
    <row r="12" spans="1:39" s="107" customFormat="1" ht="39.75" customHeight="1" thickBot="1">
      <c r="A12" s="102"/>
      <c r="B12" s="103" t="s">
        <v>39</v>
      </c>
      <c r="C12" s="104">
        <f>SUM(C10:C11)</f>
        <v>122</v>
      </c>
      <c r="D12" s="104">
        <f>SUM(D10:D11)</f>
        <v>14802666.26</v>
      </c>
      <c r="E12" s="104">
        <f t="shared" ref="E12:AF12" si="0">SUM(E10:E11)</f>
        <v>8</v>
      </c>
      <c r="F12" s="104">
        <f>SUM(F10:F11)</f>
        <v>970666.64</v>
      </c>
      <c r="G12" s="104">
        <f t="shared" si="0"/>
        <v>4</v>
      </c>
      <c r="H12" s="104">
        <f>SUM(H10:H11)</f>
        <v>485333.32</v>
      </c>
      <c r="I12" s="104">
        <f t="shared" si="0"/>
        <v>0</v>
      </c>
      <c r="J12" s="104">
        <f t="shared" si="0"/>
        <v>0</v>
      </c>
      <c r="K12" s="104">
        <f t="shared" si="0"/>
        <v>20</v>
      </c>
      <c r="L12" s="104">
        <f>SUM(L10:L11)</f>
        <v>2426666.6</v>
      </c>
      <c r="M12" s="104">
        <f t="shared" si="0"/>
        <v>0</v>
      </c>
      <c r="N12" s="104">
        <f>SUM(N10:N11)</f>
        <v>0</v>
      </c>
      <c r="O12" s="104">
        <f t="shared" si="0"/>
        <v>0</v>
      </c>
      <c r="P12" s="104">
        <f t="shared" si="0"/>
        <v>0</v>
      </c>
      <c r="Q12" s="104">
        <f t="shared" si="0"/>
        <v>0</v>
      </c>
      <c r="R12" s="104">
        <f t="shared" si="0"/>
        <v>0</v>
      </c>
      <c r="S12" s="104">
        <f>SUM(S10:S11)</f>
        <v>601250</v>
      </c>
      <c r="T12" s="104">
        <f>SUM(T10:T11)</f>
        <v>305000</v>
      </c>
      <c r="U12" s="104">
        <f>SUM(U10:U11)</f>
        <v>225000</v>
      </c>
      <c r="V12" s="104">
        <f>SUM(V10:V11)</f>
        <v>8358218.0399999991</v>
      </c>
      <c r="W12" s="104">
        <f t="shared" si="0"/>
        <v>200000</v>
      </c>
      <c r="X12" s="104">
        <f>SUM(X10:X11)</f>
        <v>400000</v>
      </c>
      <c r="Y12" s="104">
        <f t="shared" si="0"/>
        <v>0</v>
      </c>
      <c r="Z12" s="104">
        <f>SUM(Z10:Z11)</f>
        <v>196080</v>
      </c>
      <c r="AA12" s="104">
        <f>SUM(AA10:AA11)</f>
        <v>20000</v>
      </c>
      <c r="AB12" s="104">
        <f t="shared" si="0"/>
        <v>78309</v>
      </c>
      <c r="AC12" s="104">
        <f>SUM(AC10:AC11)</f>
        <v>392160</v>
      </c>
      <c r="AD12" s="104">
        <f>SUM(AD10:AD11)</f>
        <v>196080</v>
      </c>
      <c r="AE12" s="104">
        <f t="shared" si="0"/>
        <v>200000</v>
      </c>
      <c r="AF12" s="104">
        <f t="shared" si="0"/>
        <v>0</v>
      </c>
      <c r="AG12" s="104">
        <f>SUM(AG10:AG11)</f>
        <v>27692171.859999999</v>
      </c>
      <c r="AH12" s="104">
        <f>SUM(AH10:AH11)</f>
        <v>890203.20000000007</v>
      </c>
      <c r="AI12" s="104">
        <f>SUM(AI10:AI11)</f>
        <v>784320</v>
      </c>
      <c r="AJ12" s="104">
        <f>SUM(AJ10:AJ11)</f>
        <v>392160</v>
      </c>
      <c r="AK12" s="105">
        <f>SUM(AK10:AK11)</f>
        <v>30841484.059999999</v>
      </c>
      <c r="AL12" s="106"/>
    </row>
    <row r="13" spans="1:39" s="68" customFormat="1" ht="27.75" customHeight="1">
      <c r="A13" s="108"/>
      <c r="B13" s="109" t="s">
        <v>85</v>
      </c>
      <c r="C13" s="110"/>
      <c r="D13" s="56">
        <f>'GAJI OKTOBER 2025'!G13</f>
        <v>15764840</v>
      </c>
      <c r="E13" s="56"/>
      <c r="F13" s="56">
        <f>'GAJI OKTOBER 2025'!I13</f>
        <v>1033760</v>
      </c>
      <c r="G13" s="56"/>
      <c r="H13" s="57">
        <f>'GAJI OKTOBER 2025'!K13</f>
        <v>516880</v>
      </c>
      <c r="I13" s="56"/>
      <c r="J13" s="56"/>
      <c r="K13" s="56"/>
      <c r="L13" s="58">
        <f>'GAJI OKTOBER 2025'!O13</f>
        <v>2584400</v>
      </c>
      <c r="M13" s="56"/>
      <c r="N13" s="56">
        <f>'GAJI OKTOBER 2025'!Q13</f>
        <v>0</v>
      </c>
      <c r="O13" s="56"/>
      <c r="P13" s="56"/>
      <c r="Q13" s="56"/>
      <c r="R13" s="56"/>
      <c r="S13" s="58">
        <f>'GAJI OKTOBER 2025'!X13</f>
        <v>601250</v>
      </c>
      <c r="T13" s="56">
        <f>'GAJI OKTOBER 2025'!AA13</f>
        <v>305000</v>
      </c>
      <c r="U13" s="56">
        <f>'GAJI OKTOBER 2025'!AD13</f>
        <v>225000</v>
      </c>
      <c r="V13" s="58">
        <f>'GAJI OKTOBER 2025'!AE13</f>
        <v>8358218.04</v>
      </c>
      <c r="W13" s="58"/>
      <c r="X13" s="56">
        <f>'GAJI OKTOBER 2025'!AG13</f>
        <v>400000</v>
      </c>
      <c r="Y13" s="56"/>
      <c r="Z13" s="56">
        <f>'GAJI OKTOBER 2025'!AL13</f>
        <v>196080</v>
      </c>
      <c r="AA13" s="56">
        <f>'GAJI OKTOBER 2025'!AQ13</f>
        <v>20000</v>
      </c>
      <c r="AB13" s="56">
        <f>'GAJI OKTOBER 2025'!AR13</f>
        <v>78309</v>
      </c>
      <c r="AC13" s="59">
        <f>'GAJI OKTOBER 2025'!AI13</f>
        <v>392160</v>
      </c>
      <c r="AD13" s="59">
        <f>'GAJI OKTOBER 2025'!AN13</f>
        <v>196080</v>
      </c>
      <c r="AE13" s="56"/>
      <c r="AF13" s="56"/>
      <c r="AG13" s="59"/>
      <c r="AH13" s="58">
        <f>'GAJI OKTOBER 2025'!AJ13</f>
        <v>890203.20000000007</v>
      </c>
      <c r="AI13" s="58">
        <f>'GAJI OKTOBER 2025'!AM13</f>
        <v>784320</v>
      </c>
      <c r="AJ13" s="60">
        <f>'GAJI OKTOBER 2025'!AO13</f>
        <v>392160</v>
      </c>
      <c r="AK13" s="111"/>
      <c r="AL13" s="112"/>
    </row>
    <row r="14" spans="1:39" s="68" customFormat="1" ht="32.25" customHeight="1">
      <c r="A14" s="113"/>
      <c r="B14" s="114" t="s">
        <v>91</v>
      </c>
      <c r="C14" s="115"/>
      <c r="D14" s="61">
        <f>D12-D13</f>
        <v>-962173.74000000022</v>
      </c>
      <c r="E14" s="61">
        <f t="shared" ref="E14:AJ14" si="1">E12-E13</f>
        <v>8</v>
      </c>
      <c r="F14" s="61">
        <f t="shared" si="1"/>
        <v>-63093.359999999986</v>
      </c>
      <c r="G14" s="61">
        <f t="shared" si="1"/>
        <v>4</v>
      </c>
      <c r="H14" s="61">
        <f t="shared" si="1"/>
        <v>-31546.679999999993</v>
      </c>
      <c r="I14" s="61">
        <f t="shared" si="1"/>
        <v>0</v>
      </c>
      <c r="J14" s="61">
        <f t="shared" si="1"/>
        <v>0</v>
      </c>
      <c r="K14" s="61">
        <f t="shared" si="1"/>
        <v>20</v>
      </c>
      <c r="L14" s="61">
        <f t="shared" si="1"/>
        <v>-157733.39999999991</v>
      </c>
      <c r="M14" s="61">
        <f t="shared" si="1"/>
        <v>0</v>
      </c>
      <c r="N14" s="61">
        <f t="shared" si="1"/>
        <v>0</v>
      </c>
      <c r="O14" s="61">
        <f t="shared" si="1"/>
        <v>0</v>
      </c>
      <c r="P14" s="61">
        <f t="shared" si="1"/>
        <v>0</v>
      </c>
      <c r="Q14" s="61">
        <f t="shared" si="1"/>
        <v>0</v>
      </c>
      <c r="R14" s="61">
        <f t="shared" si="1"/>
        <v>0</v>
      </c>
      <c r="S14" s="61">
        <f t="shared" si="1"/>
        <v>0</v>
      </c>
      <c r="T14" s="61">
        <f t="shared" si="1"/>
        <v>0</v>
      </c>
      <c r="U14" s="61">
        <f t="shared" si="1"/>
        <v>0</v>
      </c>
      <c r="V14" s="61">
        <f t="shared" si="1"/>
        <v>0</v>
      </c>
      <c r="W14" s="61">
        <f t="shared" si="1"/>
        <v>200000</v>
      </c>
      <c r="X14" s="61">
        <f t="shared" si="1"/>
        <v>0</v>
      </c>
      <c r="Y14" s="61">
        <f t="shared" si="1"/>
        <v>0</v>
      </c>
      <c r="Z14" s="61">
        <f t="shared" si="1"/>
        <v>0</v>
      </c>
      <c r="AA14" s="61">
        <f t="shared" si="1"/>
        <v>0</v>
      </c>
      <c r="AB14" s="61">
        <f t="shared" si="1"/>
        <v>0</v>
      </c>
      <c r="AC14" s="61">
        <f t="shared" si="1"/>
        <v>0</v>
      </c>
      <c r="AD14" s="61">
        <f t="shared" si="1"/>
        <v>0</v>
      </c>
      <c r="AE14" s="61">
        <f t="shared" si="1"/>
        <v>200000</v>
      </c>
      <c r="AF14" s="61">
        <f t="shared" si="1"/>
        <v>0</v>
      </c>
      <c r="AG14" s="61">
        <f t="shared" si="1"/>
        <v>27692171.859999999</v>
      </c>
      <c r="AH14" s="61">
        <f t="shared" si="1"/>
        <v>0</v>
      </c>
      <c r="AI14" s="61">
        <f t="shared" si="1"/>
        <v>0</v>
      </c>
      <c r="AJ14" s="61">
        <f t="shared" si="1"/>
        <v>0</v>
      </c>
      <c r="AK14" s="116">
        <f>AC12+AH12</f>
        <v>1282363.2000000002</v>
      </c>
      <c r="AL14" s="112"/>
    </row>
    <row r="15" spans="1:39" s="68" customFormat="1" ht="32.25" customHeight="1">
      <c r="A15" s="113"/>
      <c r="B15" s="114" t="s">
        <v>92</v>
      </c>
      <c r="C15" s="117"/>
      <c r="D15" s="159"/>
      <c r="E15" s="160"/>
      <c r="F15" s="160"/>
      <c r="G15" s="160"/>
      <c r="H15" s="161"/>
      <c r="I15" s="160"/>
      <c r="J15" s="160"/>
      <c r="K15" s="160"/>
      <c r="L15" s="162"/>
      <c r="M15" s="160"/>
      <c r="N15" s="160"/>
      <c r="O15" s="160"/>
      <c r="P15" s="160"/>
      <c r="Q15" s="160"/>
      <c r="R15" s="160"/>
      <c r="S15" s="160"/>
      <c r="T15" s="162"/>
      <c r="U15" s="160"/>
      <c r="V15" s="162"/>
      <c r="W15" s="162"/>
      <c r="X15" s="160"/>
      <c r="Y15" s="163"/>
      <c r="Z15" s="163"/>
      <c r="AA15" s="163"/>
      <c r="AB15" s="163"/>
      <c r="AC15" s="163"/>
      <c r="AD15" s="163"/>
      <c r="AE15" s="163"/>
      <c r="AF15" s="163"/>
      <c r="AG15" s="163"/>
      <c r="AH15" s="162"/>
      <c r="AI15" s="162"/>
      <c r="AJ15" s="164"/>
      <c r="AK15" s="123">
        <f>Z12+AI12</f>
        <v>980400</v>
      </c>
      <c r="AL15" s="112"/>
    </row>
    <row r="16" spans="1:39" s="68" customFormat="1" ht="32.25" customHeight="1">
      <c r="A16" s="113"/>
      <c r="B16" s="114" t="s">
        <v>93</v>
      </c>
      <c r="C16" s="117"/>
      <c r="D16" s="159"/>
      <c r="E16" s="160"/>
      <c r="F16" s="160"/>
      <c r="G16" s="160"/>
      <c r="H16" s="161"/>
      <c r="I16" s="160"/>
      <c r="J16" s="160"/>
      <c r="K16" s="160"/>
      <c r="L16" s="162"/>
      <c r="M16" s="160"/>
      <c r="N16" s="160"/>
      <c r="O16" s="160"/>
      <c r="P16" s="160"/>
      <c r="Q16" s="160"/>
      <c r="R16" s="160"/>
      <c r="S16" s="160"/>
      <c r="T16" s="162"/>
      <c r="U16" s="160"/>
      <c r="V16" s="162"/>
      <c r="W16" s="162"/>
      <c r="X16" s="160"/>
      <c r="Y16" s="163"/>
      <c r="Z16" s="163"/>
      <c r="AA16" s="163"/>
      <c r="AB16" s="163"/>
      <c r="AC16" s="163"/>
      <c r="AD16" s="163"/>
      <c r="AE16" s="163"/>
      <c r="AF16" s="163"/>
      <c r="AG16" s="163"/>
      <c r="AH16" s="162"/>
      <c r="AI16" s="162"/>
      <c r="AJ16" s="164"/>
      <c r="AK16" s="123">
        <f>AD12+AJ12</f>
        <v>588240</v>
      </c>
      <c r="AL16" s="112"/>
    </row>
    <row r="17" spans="1:39" s="68" customFormat="1" ht="32.25" customHeight="1">
      <c r="A17" s="113" t="s">
        <v>135</v>
      </c>
      <c r="B17" s="114"/>
      <c r="C17" s="117"/>
      <c r="D17" s="118"/>
      <c r="E17" s="117"/>
      <c r="F17" s="117"/>
      <c r="G17" s="117"/>
      <c r="H17" s="119"/>
      <c r="I17" s="117"/>
      <c r="J17" s="117"/>
      <c r="K17" s="117"/>
      <c r="L17" s="120"/>
      <c r="M17" s="117"/>
      <c r="N17" s="117"/>
      <c r="O17" s="117"/>
      <c r="P17" s="117"/>
      <c r="Q17" s="117"/>
      <c r="R17" s="117"/>
      <c r="S17" s="117"/>
      <c r="T17" s="120"/>
      <c r="U17" s="117"/>
      <c r="V17" s="120"/>
      <c r="W17" s="120"/>
      <c r="X17" s="117"/>
      <c r="Y17" s="121"/>
      <c r="Z17" s="121"/>
      <c r="AA17" s="121"/>
      <c r="AB17" s="121"/>
      <c r="AC17" s="121"/>
      <c r="AD17" s="121"/>
      <c r="AE17" s="121"/>
      <c r="AF17" s="121"/>
      <c r="AG17" s="121"/>
      <c r="AH17" s="120"/>
      <c r="AI17" s="120"/>
      <c r="AJ17" s="122"/>
      <c r="AK17" s="123">
        <f>AE12</f>
        <v>200000</v>
      </c>
      <c r="AL17" s="112"/>
    </row>
    <row r="18" spans="1:39" s="68" customFormat="1" ht="32.25" customHeight="1">
      <c r="A18" s="113"/>
      <c r="B18" s="114" t="s">
        <v>86</v>
      </c>
      <c r="C18" s="117"/>
      <c r="D18" s="118"/>
      <c r="E18" s="117"/>
      <c r="F18" s="117"/>
      <c r="G18" s="117"/>
      <c r="H18" s="119"/>
      <c r="I18" s="117"/>
      <c r="J18" s="117"/>
      <c r="K18" s="117"/>
      <c r="L18" s="120"/>
      <c r="M18" s="117"/>
      <c r="N18" s="117"/>
      <c r="O18" s="117"/>
      <c r="P18" s="117"/>
      <c r="Q18" s="117"/>
      <c r="R18" s="117"/>
      <c r="S18" s="120"/>
      <c r="T18" s="120"/>
      <c r="U18" s="117"/>
      <c r="V18" s="120"/>
      <c r="W18" s="120"/>
      <c r="X18" s="117"/>
      <c r="Y18" s="121"/>
      <c r="Z18" s="121"/>
      <c r="AA18" s="121"/>
      <c r="AB18" s="121"/>
      <c r="AC18" s="121"/>
      <c r="AD18" s="121"/>
      <c r="AE18" s="121"/>
      <c r="AF18" s="121"/>
      <c r="AG18" s="121"/>
      <c r="AH18" s="120"/>
      <c r="AI18" s="120"/>
      <c r="AJ18" s="122"/>
      <c r="AK18" s="123">
        <f>AA12</f>
        <v>20000</v>
      </c>
      <c r="AL18" s="112"/>
    </row>
    <row r="19" spans="1:39" s="68" customFormat="1" ht="32.25" customHeight="1" thickBot="1">
      <c r="A19" s="113"/>
      <c r="B19" s="114" t="s">
        <v>88</v>
      </c>
      <c r="C19" s="117"/>
      <c r="D19" s="117"/>
      <c r="E19" s="117"/>
      <c r="F19" s="124"/>
      <c r="G19" s="117"/>
      <c r="H19" s="11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20"/>
      <c r="T19" s="117"/>
      <c r="U19" s="117"/>
      <c r="V19" s="120"/>
      <c r="W19" s="120"/>
      <c r="X19" s="117"/>
      <c r="Y19" s="121"/>
      <c r="Z19" s="121"/>
      <c r="AA19" s="121"/>
      <c r="AB19" s="121"/>
      <c r="AC19" s="121"/>
      <c r="AD19" s="121"/>
      <c r="AE19" s="121"/>
      <c r="AF19" s="121"/>
      <c r="AG19" s="121"/>
      <c r="AH19" s="120"/>
      <c r="AI19" s="120"/>
      <c r="AJ19" s="122"/>
      <c r="AK19" s="123">
        <f>AB12</f>
        <v>78309</v>
      </c>
      <c r="AL19" s="112"/>
    </row>
    <row r="20" spans="1:39" s="62" customFormat="1" ht="32.25" customHeight="1" thickBot="1">
      <c r="A20" s="655" t="s">
        <v>87</v>
      </c>
      <c r="B20" s="656"/>
      <c r="C20" s="125"/>
      <c r="D20" s="125"/>
      <c r="E20" s="125"/>
      <c r="F20" s="126"/>
      <c r="G20" s="126"/>
      <c r="H20" s="126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7"/>
      <c r="Z20" s="127"/>
      <c r="AA20" s="127"/>
      <c r="AB20" s="127"/>
      <c r="AC20" s="127"/>
      <c r="AD20" s="127"/>
      <c r="AE20" s="127"/>
      <c r="AF20" s="127"/>
      <c r="AG20" s="127"/>
      <c r="AH20" s="128"/>
      <c r="AI20" s="128"/>
      <c r="AJ20" s="129"/>
      <c r="AK20" s="130">
        <f>AK12-AK14-AK15-AK16-AK17-AK18-AK19</f>
        <v>27692171.859999999</v>
      </c>
      <c r="AL20" s="131">
        <f>'GAJI OKTOBER 2025'!AT13</f>
        <v>28906719.039999999</v>
      </c>
      <c r="AM20" s="101">
        <f>AK20-AL20</f>
        <v>-1214547.1799999997</v>
      </c>
    </row>
    <row r="21" spans="1:39" s="62" customFormat="1" ht="27.75" customHeight="1">
      <c r="A21" s="132"/>
      <c r="B21" s="132"/>
      <c r="C21" s="87"/>
      <c r="D21" s="87"/>
      <c r="E21" s="87"/>
      <c r="F21" s="133"/>
      <c r="G21" s="133"/>
      <c r="H21" s="213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1"/>
      <c r="Z21" s="211"/>
      <c r="AA21" s="211"/>
      <c r="AB21" s="134"/>
      <c r="AC21" s="134"/>
      <c r="AD21" s="134"/>
      <c r="AE21" s="134"/>
      <c r="AF21" s="134"/>
      <c r="AG21" s="134"/>
      <c r="AH21" s="135"/>
      <c r="AI21" s="135"/>
      <c r="AJ21" s="135"/>
      <c r="AK21" s="136"/>
      <c r="AL21" s="131"/>
    </row>
    <row r="22" spans="1:39" s="139" customFormat="1" ht="16.5" customHeight="1">
      <c r="A22" s="137"/>
      <c r="B22" s="138"/>
      <c r="C22" s="680" t="s">
        <v>42</v>
      </c>
      <c r="D22" s="680"/>
      <c r="E22" s="137"/>
      <c r="F22" s="137"/>
      <c r="G22" s="137"/>
      <c r="H22" s="678" t="s">
        <v>128</v>
      </c>
      <c r="I22" s="678"/>
      <c r="J22" s="678"/>
      <c r="K22" s="678"/>
      <c r="L22" s="678"/>
      <c r="M22" s="220"/>
      <c r="N22" s="220"/>
      <c r="O22" s="220"/>
      <c r="P22" s="223"/>
      <c r="Q22" s="220"/>
      <c r="R22" s="220"/>
      <c r="S22" s="220"/>
      <c r="T22" s="223"/>
      <c r="U22" s="223"/>
      <c r="V22" s="677" t="s">
        <v>153</v>
      </c>
      <c r="W22" s="677"/>
      <c r="X22" s="3"/>
      <c r="Y22" s="212"/>
      <c r="Z22" s="212"/>
      <c r="AA22" s="212"/>
      <c r="AB22" s="137"/>
      <c r="AC22" s="137"/>
      <c r="AD22" s="662" t="s">
        <v>61</v>
      </c>
      <c r="AE22" s="662"/>
      <c r="AF22" s="662"/>
      <c r="AG22" s="662"/>
      <c r="AH22" s="140"/>
      <c r="AI22" s="140"/>
      <c r="AJ22" s="140"/>
      <c r="AK22" s="141"/>
    </row>
    <row r="23" spans="1:39" s="142" customFormat="1" ht="16.5" customHeight="1">
      <c r="A23" s="137"/>
      <c r="E23" s="137"/>
      <c r="F23" s="137"/>
      <c r="G23" s="137"/>
      <c r="H23" s="224"/>
      <c r="I23" s="223"/>
      <c r="J23" s="223"/>
      <c r="K23" s="221"/>
      <c r="L23" s="221"/>
      <c r="M23" s="221"/>
      <c r="N23" s="221"/>
      <c r="O23" s="221"/>
      <c r="P23" s="223"/>
      <c r="Q23" s="221"/>
      <c r="R23" s="221"/>
      <c r="S23" s="221"/>
      <c r="T23" s="223"/>
      <c r="U23" s="223"/>
      <c r="V23" s="221"/>
      <c r="W23" s="221"/>
      <c r="X23" s="1"/>
      <c r="Y23" s="212"/>
      <c r="Z23" s="212"/>
      <c r="AA23" s="212"/>
      <c r="AB23" s="137"/>
      <c r="AC23" s="137"/>
      <c r="AD23" s="137"/>
      <c r="AE23" s="137"/>
      <c r="AF23" s="137"/>
      <c r="AG23" s="137"/>
      <c r="AH23" s="143"/>
      <c r="AI23" s="143"/>
      <c r="AJ23" s="143"/>
      <c r="AK23" s="144"/>
    </row>
    <row r="24" spans="1:39" s="142" customFormat="1" ht="16.5" customHeight="1">
      <c r="A24" s="137"/>
      <c r="D24" s="145"/>
      <c r="E24" s="137"/>
      <c r="F24" s="137"/>
      <c r="G24" s="137"/>
      <c r="H24" s="224"/>
      <c r="I24" s="223"/>
      <c r="J24" s="223"/>
      <c r="K24" s="221"/>
      <c r="L24" s="221"/>
      <c r="M24" s="221"/>
      <c r="N24" s="221"/>
      <c r="O24" s="221"/>
      <c r="P24" s="223"/>
      <c r="Q24" s="221"/>
      <c r="R24" s="221"/>
      <c r="S24" s="221"/>
      <c r="T24" s="223"/>
      <c r="U24" s="223"/>
      <c r="V24" s="221"/>
      <c r="W24" s="221"/>
      <c r="X24" s="1"/>
      <c r="Y24" s="212"/>
      <c r="Z24" s="212"/>
      <c r="AA24" s="212"/>
      <c r="AB24" s="137"/>
      <c r="AC24" s="137"/>
      <c r="AD24" s="137"/>
      <c r="AE24" s="137"/>
      <c r="AF24" s="137"/>
      <c r="AG24" s="137"/>
      <c r="AH24" s="143"/>
      <c r="AI24" s="143"/>
      <c r="AJ24" s="143"/>
      <c r="AK24" s="146"/>
    </row>
    <row r="25" spans="1:39" s="147" customFormat="1" ht="21.75" customHeight="1">
      <c r="B25" s="148"/>
      <c r="C25" s="148"/>
      <c r="D25" s="148"/>
      <c r="H25" s="225"/>
      <c r="I25" s="225"/>
      <c r="J25" s="226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4"/>
      <c r="Y25" s="4"/>
      <c r="Z25" s="4"/>
      <c r="AA25" s="214"/>
      <c r="AB25" s="149"/>
      <c r="AC25" s="149"/>
      <c r="AI25" s="150"/>
      <c r="AJ25" s="150"/>
      <c r="AK25" s="151"/>
    </row>
    <row r="26" spans="1:39" s="142" customFormat="1" ht="19.5" customHeight="1">
      <c r="C26" s="681" t="s">
        <v>100</v>
      </c>
      <c r="D26" s="681"/>
      <c r="E26" s="152"/>
      <c r="F26" s="152"/>
      <c r="G26" s="152"/>
      <c r="H26" s="679" t="s">
        <v>154</v>
      </c>
      <c r="I26" s="679"/>
      <c r="J26" s="679"/>
      <c r="K26" s="679"/>
      <c r="L26" s="679"/>
      <c r="M26" s="221"/>
      <c r="N26" s="221"/>
      <c r="O26" s="221"/>
      <c r="P26" s="221"/>
      <c r="Q26" s="221"/>
      <c r="R26" s="221"/>
      <c r="S26" s="221"/>
      <c r="T26" s="221"/>
      <c r="U26" s="221"/>
      <c r="V26" s="674" t="s">
        <v>134</v>
      </c>
      <c r="W26" s="674"/>
      <c r="X26" s="1"/>
      <c r="Y26" s="1"/>
      <c r="Z26" s="1"/>
      <c r="AA26" s="1"/>
      <c r="AD26" s="676" t="s">
        <v>125</v>
      </c>
      <c r="AE26" s="676"/>
      <c r="AF26" s="676"/>
      <c r="AG26" s="676"/>
      <c r="AI26" s="153"/>
      <c r="AJ26" s="153"/>
    </row>
    <row r="27" spans="1:39">
      <c r="C27" s="672" t="s">
        <v>40</v>
      </c>
      <c r="D27" s="672"/>
      <c r="H27" s="673" t="s">
        <v>155</v>
      </c>
      <c r="I27" s="673"/>
      <c r="J27" s="673"/>
      <c r="K27" s="673"/>
      <c r="L27" s="673"/>
      <c r="M27" s="222"/>
      <c r="N27" s="222"/>
      <c r="O27" s="222"/>
      <c r="P27" s="222"/>
      <c r="Q27" s="222"/>
      <c r="R27" s="222"/>
      <c r="S27" s="222"/>
      <c r="T27" s="222"/>
      <c r="U27" s="222"/>
      <c r="V27" s="675" t="s">
        <v>157</v>
      </c>
      <c r="W27" s="675"/>
      <c r="X27" s="2"/>
      <c r="Y27" s="2"/>
      <c r="Z27" s="2"/>
      <c r="AA27" s="2"/>
      <c r="AD27" s="672" t="s">
        <v>101</v>
      </c>
      <c r="AE27" s="672"/>
      <c r="AF27" s="672"/>
      <c r="AG27" s="672"/>
    </row>
  </sheetData>
  <mergeCells count="48">
    <mergeCell ref="C27:D27"/>
    <mergeCell ref="H27:L27"/>
    <mergeCell ref="V26:W26"/>
    <mergeCell ref="V27:W27"/>
    <mergeCell ref="AD22:AG22"/>
    <mergeCell ref="AD26:AG26"/>
    <mergeCell ref="AD27:AG27"/>
    <mergeCell ref="V22:W22"/>
    <mergeCell ref="H22:L22"/>
    <mergeCell ref="H26:L26"/>
    <mergeCell ref="C22:D22"/>
    <mergeCell ref="C26:D26"/>
    <mergeCell ref="A1:AK1"/>
    <mergeCell ref="A2:AK2"/>
    <mergeCell ref="A7:A9"/>
    <mergeCell ref="B7:B9"/>
    <mergeCell ref="C7:D7"/>
    <mergeCell ref="E7:R7"/>
    <mergeCell ref="S7:U7"/>
    <mergeCell ref="V7:V9"/>
    <mergeCell ref="W7:W9"/>
    <mergeCell ref="X7:X9"/>
    <mergeCell ref="AK7:AK9"/>
    <mergeCell ref="Y8:Y9"/>
    <mergeCell ref="Z8:Z9"/>
    <mergeCell ref="AA8:AA9"/>
    <mergeCell ref="AB8:AB9"/>
    <mergeCell ref="Y7:AE7"/>
    <mergeCell ref="AH7:AH9"/>
    <mergeCell ref="AI7:AI9"/>
    <mergeCell ref="AJ7:AJ9"/>
    <mergeCell ref="M8:N8"/>
    <mergeCell ref="O8:P8"/>
    <mergeCell ref="Q8:R8"/>
    <mergeCell ref="S8:S9"/>
    <mergeCell ref="T8:T9"/>
    <mergeCell ref="U8:U9"/>
    <mergeCell ref="AG8:AG9"/>
    <mergeCell ref="G8:H8"/>
    <mergeCell ref="I8:J8"/>
    <mergeCell ref="K8:L8"/>
    <mergeCell ref="AC8:AC9"/>
    <mergeCell ref="AE8:AE9"/>
    <mergeCell ref="A10:A11"/>
    <mergeCell ref="A20:B20"/>
    <mergeCell ref="C8:C9"/>
    <mergeCell ref="D8:D9"/>
    <mergeCell ref="E8:F8"/>
  </mergeCells>
  <printOptions horizontalCentered="1"/>
  <pageMargins left="0" right="0" top="0" bottom="0" header="0" footer="0"/>
  <pageSetup paperSize="9" scale="45" orientation="landscape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MASA KERJA</vt:lpstr>
      <vt:lpstr>HK</vt:lpstr>
      <vt:lpstr>LEMBUR</vt:lpstr>
      <vt:lpstr>GAJI OKTOBER 2025</vt:lpstr>
      <vt:lpstr>BRI OKTOBER 2025</vt:lpstr>
      <vt:lpstr>REKON GAJI MANUAL VS PLANTW  AB</vt:lpstr>
      <vt:lpstr>Distribusi NOVEMBER 2024</vt:lpstr>
      <vt:lpstr>'BRI OKTOBER 2025'!Print_Area</vt:lpstr>
      <vt:lpstr>'Distribusi NOVEMBER 2024'!Print_Area</vt:lpstr>
      <vt:lpstr>'GAJI OKTOBER 2025'!Print_Area</vt:lpstr>
      <vt:lpstr>LEMBUR!Print_Area</vt:lpstr>
      <vt:lpstr>'REKON GAJI MANUAL VS PLANTW  AB'!Print_Area</vt:lpstr>
      <vt:lpstr>'REKON GAJI MANUAL VS PLANTW  AB'!Print_Titles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Epan</dc:creator>
  <cp:lastModifiedBy>HRD-PTRJ</cp:lastModifiedBy>
  <cp:lastPrinted>2025-10-31T10:11:10Z</cp:lastPrinted>
  <dcterms:created xsi:type="dcterms:W3CDTF">2014-07-09T16:05:12Z</dcterms:created>
  <dcterms:modified xsi:type="dcterms:W3CDTF">2025-11-04T03:18:20Z</dcterms:modified>
</cp:coreProperties>
</file>